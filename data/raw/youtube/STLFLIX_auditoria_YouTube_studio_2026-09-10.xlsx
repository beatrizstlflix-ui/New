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 Executivo" sheetId="2" state="visible" r:id="rId4"/>
    <sheet name="Visão Geral" sheetId="3" state="visible" r:id="rId5"/>
    <sheet name="Alcance (Tráfego)" sheetId="4" state="visible" r:id="rId6"/>
    <sheet name="Engajamento" sheetId="5" state="visible" r:id="rId7"/>
    <sheet name="Público-alvo" sheetId="6" state="visible" r:id="rId8"/>
    <sheet name="Inscritos (série)" sheetId="7" state="visible" r:id="rId9"/>
    <sheet name="Retenção (vídeos)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<sst xmlns="http://schemas.openxmlformats.org/spreadsheetml/2006/main" count="882" uniqueCount="532">
  <si>
    <t xml:space="preserve">STLFLIX BR – Impressão 3D · Auditoria do Canal (YouTube)</t>
  </si>
  <si>
    <t xml:space="preserve">Preparação para a Black Friday · Coleta em 10/09/2026 · Canal @stlflix_br (83.450 inscritos)</t>
  </si>
  <si>
    <t xml:space="preserve">O que é este arquivo</t>
  </si>
  <si>
    <t xml:space="preserve">Auditoria de desempenho do canal no YouTube Studio para embasar a estratégia de Black Friday. Os números foram coletados direto do YouTube Studio (Modo avançado e abas simplificadas), consolidados aba a aba. Uma aba por eixo; 5 períodos comparáveis lado a lado.</t>
  </si>
  <si>
    <t xml:space="preserve">Períodos analisados</t>
  </si>
  <si>
    <t xml:space="preserve">Código</t>
  </si>
  <si>
    <t xml:space="preserve">Período</t>
  </si>
  <si>
    <t xml:space="preserve">Intervalo</t>
  </si>
  <si>
    <t xml:space="preserve">Observação</t>
  </si>
  <si>
    <t xml:space="preserve">P1</t>
  </si>
  <si>
    <t xml:space="preserve">Ano corrente (YTD 2026)</t>
  </si>
  <si>
    <t xml:space="preserve">01/01–09/09/2026</t>
  </si>
  <si>
    <t xml:space="preserve">Preset "2026" do Studio</t>
  </si>
  <si>
    <t xml:space="preserve">P2</t>
  </si>
  <si>
    <t xml:space="preserve">Últimos 90 dias</t>
  </si>
  <si>
    <t xml:space="preserve">12/06–09/09/2026</t>
  </si>
  <si>
    <t xml:space="preserve">Preset</t>
  </si>
  <si>
    <t xml:space="preserve">P3</t>
  </si>
  <si>
    <t xml:space="preserve">Últimos 28 dias</t>
  </si>
  <si>
    <t xml:space="preserve">13/08–09/09/2026</t>
  </si>
  <si>
    <t xml:space="preserve">Janela recente (preset)</t>
  </si>
  <si>
    <t xml:space="preserve">P4</t>
  </si>
  <si>
    <t xml:space="preserve">28 dias anteriores</t>
  </si>
  <si>
    <t xml:space="preserve">16/07–12/08/2026</t>
  </si>
  <si>
    <t xml:space="preserve">Personalizado (comparação com P3)</t>
  </si>
  <si>
    <t xml:space="preserve">P5</t>
  </si>
  <si>
    <t xml:space="preserve">Black Friday 2025</t>
  </si>
  <si>
    <t xml:space="preserve">15/10–30/11/2025 (47 dias)</t>
  </si>
  <si>
    <t xml:space="preserve">Personalizado – referência sazonal</t>
  </si>
  <si>
    <t xml:space="preserve">⚠ Ressalvas importantes (ler antes de usar os números)</t>
  </si>
  <si>
    <t xml:space="preserve">•</t>
  </si>
  <si>
    <t xml:space="preserve">Alerta do próprio YouTube</t>
  </si>
  <si>
    <t xml:space="preserve">No dia da coleta o Studio exibia "problema temporário com os dados afetando as visualizações" e o card de Visualizações estava com alerta. As VIEWS recentes podem estar instáveis.</t>
  </si>
  <si>
    <t xml:space="preserve">Mudança na contagem de views</t>
  </si>
  <si>
    <t xml:space="preserve">O YouTube informa que "conta visualizações de forma diferente desde 27/08/2026" — isso pode inflar métricas de views recentes (P3, parte do P2).</t>
  </si>
  <si>
    <t xml:space="preserve">Aba Público fixa em 28 dias</t>
  </si>
  <si>
    <t xml:space="preserve">Demografia, dispositivos, localização, legendas, notificações e o relatório "comportamento de visualização" da aba Público NÃO respondem ao seletor de período — são sempre dos últimos 28 dias. Usados como retrato representativo (são estáveis). Recorrentes-vs-novos e inscrito-vs-não foram extraídos por período via Modo avançado.</t>
  </si>
  <si>
    <t xml:space="preserve">Vídeo sem dados de retenção</t>
  </si>
  <si>
    <t xml:space="preserve">O vídeo 2tqvuHWPGGY não tem dados (0 visualizações registradas; provavelmente privado/não listado). Reportado explicitamente na aba Retenção.</t>
  </si>
  <si>
    <t xml:space="preserve">Exportação de CSV</t>
  </si>
  <si>
    <t xml:space="preserve">Os CSVs nativos do YouTube caem na pasta de Downloads local e não puderam ser lidos de volta; por isso os números foram capturados da tela e consolidados aqui. Se quiser os CSVs nativos, dá para exportar via Google Sheets.</t>
  </si>
  <si>
    <t xml:space="preserve">"Investimento em mídia"</t>
  </si>
  <si>
    <t xml:space="preserve">O Studio não mostra gasto de anúncio (isso fica no Google Ads). Usamos IMPRESSÕES de miniatura vitalícias como proxy de alcance pago para identificar o vídeo de maior mídia.</t>
  </si>
  <si>
    <t xml:space="preserve">Glossário rápido</t>
  </si>
  <si>
    <t xml:space="preserve">Tempo de exibição</t>
  </si>
  <si>
    <t xml:space="preserve">Total de horas assistidas (watch time).</t>
  </si>
  <si>
    <t xml:space="preserve">Duração média</t>
  </si>
  <si>
    <t xml:space="preserve">Tempo médio assistido por sessão (mm:ss).</t>
  </si>
  <si>
    <t xml:space="preserve">Impressões</t>
  </si>
  <si>
    <t xml:space="preserve">Quantas vezes a miniatura foi mostrada.</t>
  </si>
  <si>
    <t xml:space="preserve">CTR miniatura</t>
  </si>
  <si>
    <t xml:space="preserve">% de cliques sobre impressões.</t>
  </si>
  <si>
    <t xml:space="preserve">Recorrentes vs novos</t>
  </si>
  <si>
    <t xml:space="preserve">Views de quem já assistiu antes vs público novo. "Desconhecido" = Shorts/deslogados.</t>
  </si>
  <si>
    <t xml:space="preserve">Líquido / Ganhos / Perdidas</t>
  </si>
  <si>
    <t xml:space="preserve">Inscritos: líquido = ganhos − perdidas.</t>
  </si>
  <si>
    <t xml:space="preserve">Resumo Executivo &amp; Recomendações para a Black Friday</t>
  </si>
  <si>
    <t xml:space="preserve">Principais achados da auditoria — o que fazer com o orçamento e o conteúdo</t>
  </si>
  <si>
    <t xml:space="preserve">Principais achados</t>
  </si>
  <si>
    <t xml:space="preserve">1. Shorts trazem VIEWS; conteúdo LONGO traz TEMPO e INSCRITOS</t>
  </si>
  <si>
    <t xml:space="preserve">Em todos os períodos, os Shorts dominam as visualizações mas quase não geram tempo de exibição (ex.: P3 Shorts = 37,6% das views / 2,1% do tempo). Vídeos longos + lives sustentam 96%+ do tempo. Na BF 2025, as lives geraram 40% do tempo com só 0,8% das views.</t>
  </si>
  <si>
    <t xml:space="preserve">2. Inscritos vêm de conteúdo longo, não de Shorts</t>
  </si>
  <si>
    <t xml:space="preserve">P2: Vídeos +14.574 e Lives +4.907 = ~86% dos inscritos; Shorts só 4,1%. O maior driver de 2026 foi a live "4 ANOS STLFLIX" (+4.887 inscritos num único vídeo).</t>
  </si>
  <si>
    <t xml:space="preserve">3. Dependência de mídia paga está caindo (bom sinal)</t>
  </si>
  <si>
    <t xml:space="preserve">% de views vindas de Publicidade no YouTube: BF 2025 89,8% → YTD 70,9% → últimos 28d 55,1%. O orgânico (busca, navegação, sugeridos) cresceu e retém muito mais (sugeridos com avg 11–13 min).</t>
  </si>
  <si>
    <t xml:space="preserve">4. Recorrentes seguram ~2/3 a 71% do tempo</t>
  </si>
  <si>
    <t xml:space="preserve">Público novo gera a maioria das views (especialmente com mídia paga), mas os recorrentes assistem ~2x mais tempo (avg 7 min vs 2–3 min). Base de inscritos = 5% das views mas ~25% do tempo.</t>
  </si>
  <si>
    <t xml:space="preserve">5. Black Friday 2025: alto alcance, baixa retenção do novo público</t>
  </si>
  <si>
    <t xml:space="preserve">A BF trouxe 62,3% das views de público NOVO, mas com avg de apenas 1:11 (95,4% das views de não inscritos). Ou seja: mídia trouxe muita gente fria e pouco engajada. Oportunidade 2026: nutrir/reter melhor esse público novo.</t>
  </si>
  <si>
    <t xml:space="preserve">6. Crescimento acelerou até julho e esfriou</t>
  </si>
  <si>
    <t xml:space="preserve">Inscritos/mês subiram de ~2,9k (jan) ao pico de +11.898 (jul, puxado pela live), caindo para +5,8k (ago) e +1,6k (set parcial). Retomar cadência de lives/eventos antes da BF.</t>
  </si>
  <si>
    <t xml:space="preserve">Recomendações práticas para a campanha de Black Friday 2026</t>
  </si>
  <si>
    <t xml:space="preserve">Concentrar mídia paga em conteúdo LONGO (VSL/lives/depoimentos) que já provou converter inscritos, não só em Shorts de topo de funil.</t>
  </si>
  <si>
    <t xml:space="preserve">Programar 1–2 LIVES/eventos ancorados na BF (a live de aniversário rendeu +4.887 inscritos) — é o formato que mais cresce a base.</t>
  </si>
  <si>
    <t xml:space="preserve">Criar sequência de retenção para o público novo trazido pela mídia (avg 1:11 na BF): remarketing, playlists e Shorts que puxem para os vídeos longos.</t>
  </si>
  <si>
    <t xml:space="preserve">Reforçar miniaturas/ganchos: CTR do canal ~5–6%; os primeiros 30s definem tudo (V2 reteve 69% aos 0:30 e foi acima da média; V4 só 33%, abaixo).</t>
  </si>
  <si>
    <t xml:space="preserve">Aproveitar o horário de pico do público (13h–19h, com tardes de sáb/dom fortes) para lançamentos e lives.</t>
  </si>
  <si>
    <t xml:space="preserve">Público-alvo confirmado: homens (68,6%), 25–44 anos (60%), Brasil (84%), assistindo majoritariamente na TV (48%). Ajustar criativos e CTAs a esse perfil.</t>
  </si>
  <si>
    <t xml:space="preserve">Visão Geral — Comparativo dos 5 períodos</t>
  </si>
  <si>
    <t xml:space="preserve">Views · Tempo de exibição · Inscritos · Receita · Impressões · CTR</t>
  </si>
  <si>
    <t xml:space="preserve">Totais por período</t>
  </si>
  <si>
    <t xml:space="preserve">Métrica</t>
  </si>
  <si>
    <t xml:space="preserve">P1 · YTD 2026</t>
  </si>
  <si>
    <t xml:space="preserve">P2 · 90 dias</t>
  </si>
  <si>
    <t xml:space="preserve">P3 · 28 dias</t>
  </si>
  <si>
    <t xml:space="preserve">P4 · 28d ant.</t>
  </si>
  <si>
    <t xml:space="preserve">P5 · BF 2025</t>
  </si>
  <si>
    <t xml:space="preserve">Visualizações</t>
  </si>
  <si>
    <t xml:space="preserve">Tempo de exibição (horas)</t>
  </si>
  <si>
    <t xml:space="preserve">Duração média (mm:ss)</t>
  </si>
  <si>
    <t xml:space="preserve">2:35</t>
  </si>
  <si>
    <t xml:space="preserve">4:38</t>
  </si>
  <si>
    <t xml:space="preserve">3:52</t>
  </si>
  <si>
    <t xml:space="preserve">4:12</t>
  </si>
  <si>
    <t xml:space="preserve">2:08</t>
  </si>
  <si>
    <t xml:space="preserve">Inscritos — líquido</t>
  </si>
  <si>
    <t xml:space="preserve">Receita estimada (US$)</t>
  </si>
  <si>
    <t xml:space="preserve">Impressões de miniaturas</t>
  </si>
  <si>
    <t xml:space="preserve">CTR da miniatura</t>
  </si>
  <si>
    <t xml:space="preserve">5,8%</t>
  </si>
  <si>
    <t xml:space="preserve">5,3%</t>
  </si>
  <si>
    <t xml:space="preserve">5,4%</t>
  </si>
  <si>
    <t xml:space="preserve">5,1%</t>
  </si>
  <si>
    <t xml:space="preserve">Obs.: P3 e P2 podem conter views infladas (ver ressalvas na aba Leia-me). Inscritos perdidos por período: total YTD = 3.914 (detalhe mensal na aba "Inscritos (série)").</t>
  </si>
  <si>
    <t xml:space="preserve">Top vídeos por VIEWS — P1 (Ano corrente 2026)</t>
  </si>
  <si>
    <t xml:space="preserve">#</t>
  </si>
  <si>
    <t xml:space="preserve">Vídeo (duração)</t>
  </si>
  <si>
    <t xml:space="preserve">Views</t>
  </si>
  <si>
    <t xml:space="preserve">Tempo (h)</t>
  </si>
  <si>
    <t xml:space="preserve">Inscritos</t>
  </si>
  <si>
    <t xml:space="preserve">1</t>
  </si>
  <si>
    <t xml:space="preserve">TIPS - Dica p/ impressões a prova d'água (0:45)</t>
  </si>
  <si>
    <t xml:space="preserve">2</t>
  </si>
  <si>
    <t xml:space="preserve">TIPS - Como imprimir menos suportes (0:51)</t>
  </si>
  <si>
    <t xml:space="preserve">3</t>
  </si>
  <si>
    <t xml:space="preserve">Imprima seu Time: 3D Prints de Futebol (0:23)</t>
  </si>
  <si>
    <t xml:space="preserve">4</t>
  </si>
  <si>
    <t xml:space="preserve">Isso ficou muito bom! (0:15)</t>
  </si>
  <si>
    <t xml:space="preserve">5</t>
  </si>
  <si>
    <t xml:space="preserve">Dicas p/ imprimir objetos cônicos (0:24)</t>
  </si>
  <si>
    <t xml:space="preserve">6</t>
  </si>
  <si>
    <t xml:space="preserve">490_ADS_H_VENDA_BLACK_FRIDAY (2:47)</t>
  </si>
  <si>
    <t xml:space="preserve">7</t>
  </si>
  <si>
    <t xml:space="preserve">385_ADS_H_VENDA_BLACK_FRIDAY (0:47)</t>
  </si>
  <si>
    <t xml:space="preserve">8</t>
  </si>
  <si>
    <t xml:space="preserve">R$20 Mil/Mês vendendo impressão 3d (36:04)</t>
  </si>
  <si>
    <t xml:space="preserve">9</t>
  </si>
  <si>
    <t xml:space="preserve">Eu já tinha testado infills PLA (1:26)</t>
  </si>
  <si>
    <t xml:space="preserve">10</t>
  </si>
  <si>
    <t xml:space="preserve">TIPS - Mola impressa 3D? (0:25)</t>
  </si>
  <si>
    <t xml:space="preserve">Top vídeos por VIEWS — P5 (Black Friday 2025)</t>
  </si>
  <si>
    <t xml:space="preserve">VSL CURTA.mp4 (3:06)</t>
  </si>
  <si>
    <t xml:space="preserve">Como adicionar texto na impressão 3D (0:49)</t>
  </si>
  <si>
    <t xml:space="preserve">TIPS - Dica de preenchimento (0:36)</t>
  </si>
  <si>
    <t xml:space="preserve">Eleve o nível do Nintendo Switch (0:18)</t>
  </si>
  <si>
    <t xml:space="preserve">Top vídeos por VIEWS — P3 (Últimos 28 dias)</t>
  </si>
  <si>
    <t xml:space="preserve">VIDEO COMPLETO NO CANAL (Short 0:39)</t>
  </si>
  <si>
    <t xml:space="preserve">Pediu Demissão do Emprego (32:33)</t>
  </si>
  <si>
    <t xml:space="preserve">VIDEO COMPLETO NO CANAL (1:01)</t>
  </si>
  <si>
    <t xml:space="preserve">História da STLFLIX (56:21)</t>
  </si>
  <si>
    <t xml:space="preserve">VIDEO COMPLETO NO CANAL (0:41)</t>
  </si>
  <si>
    <t xml:space="preserve">Saiu do Emprego +R$100 MIL (37:07)</t>
  </si>
  <si>
    <t xml:space="preserve">Em 1 Semana a Primeira Venda (39:43)</t>
  </si>
  <si>
    <t xml:space="preserve">VIDEO COMPLETO NO CANAL (0:47)</t>
  </si>
  <si>
    <t xml:space="preserve">Vai sair do Aplicativo? Motoboy (21:45)</t>
  </si>
  <si>
    <t xml:space="preserve">P2 (90d) top views: Mãe lucra (336.614), Isso ficou muito bom (312.061), Pediu Demissão (264.572). P4 (28d ant.) top views: Isso ficou muito bom (89.332), 385_ADS_BF (83.854), Impressão Vende em Feiras (72.354).</t>
  </si>
  <si>
    <t xml:space="preserve">Alcance — Impressões, CTR e Origem do Tráfego</t>
  </si>
  <si>
    <t xml:space="preserve">Como o público encontra o canal, por período</t>
  </si>
  <si>
    <t xml:space="preserve">P5 — Black Friday 2025</t>
  </si>
  <si>
    <t xml:space="preserve">Origem do tráfego</t>
  </si>
  <si>
    <t xml:space="preserve">% views</t>
  </si>
  <si>
    <t xml:space="preserve">% tempo</t>
  </si>
  <si>
    <t xml:space="preserve">Dur. média</t>
  </si>
  <si>
    <t xml:space="preserve">CTR</t>
  </si>
  <si>
    <t xml:space="preserve">TOTAL</t>
  </si>
  <si>
    <t xml:space="preserve">100%</t>
  </si>
  <si>
    <t xml:space="preserve">Publicidade no YouTube</t>
  </si>
  <si>
    <t xml:space="preserve">89,8%</t>
  </si>
  <si>
    <t xml:space="preserve">41,3%</t>
  </si>
  <si>
    <t xml:space="preserve">0:57</t>
  </si>
  <si>
    <t xml:space="preserve">—</t>
  </si>
  <si>
    <t xml:space="preserve">Pesquisa do YouTube</t>
  </si>
  <si>
    <t xml:space="preserve">3,5%</t>
  </si>
  <si>
    <t xml:space="preserve">6,5%</t>
  </si>
  <si>
    <t xml:space="preserve">6,0%</t>
  </si>
  <si>
    <t xml:space="preserve">Recursos de navegação</t>
  </si>
  <si>
    <t xml:space="preserve">2,7%</t>
  </si>
  <si>
    <t xml:space="preserve">16,9%</t>
  </si>
  <si>
    <t xml:space="preserve">5:21</t>
  </si>
  <si>
    <t xml:space="preserve">6,9%</t>
  </si>
  <si>
    <t xml:space="preserve">Feed dos Shorts</t>
  </si>
  <si>
    <t xml:space="preserve">1,8%</t>
  </si>
  <si>
    <t xml:space="preserve">0,5%</t>
  </si>
  <si>
    <t xml:space="preserve">0:22</t>
  </si>
  <si>
    <t xml:space="preserve">Páginas do canal</t>
  </si>
  <si>
    <t xml:space="preserve">0,6%</t>
  </si>
  <si>
    <t xml:space="preserve">2:36</t>
  </si>
  <si>
    <t xml:space="preserve">2,2%</t>
  </si>
  <si>
    <t xml:space="preserve">Externa</t>
  </si>
  <si>
    <t xml:space="preserve">14,6%</t>
  </si>
  <si>
    <t xml:space="preserve">17:58</t>
  </si>
  <si>
    <t xml:space="preserve">Vídeos sugeridos</t>
  </si>
  <si>
    <t xml:space="preserve">0,4%</t>
  </si>
  <si>
    <t xml:space="preserve">4,7%</t>
  </si>
  <si>
    <t xml:space="preserve">8:04</t>
  </si>
  <si>
    <t xml:space="preserve">2,8%</t>
  </si>
  <si>
    <t xml:space="preserve">Origem direta/desconhecida</t>
  </si>
  <si>
    <t xml:space="preserve">0,2%</t>
  </si>
  <si>
    <t xml:space="preserve">10,1%</t>
  </si>
  <si>
    <t xml:space="preserve">30:43</t>
  </si>
  <si>
    <t xml:space="preserve">Notificações</t>
  </si>
  <si>
    <t xml:space="preserve">2:21</t>
  </si>
  <si>
    <t xml:space="preserve">P1 — Ano corrente (YTD 2026)</t>
  </si>
  <si>
    <t xml:space="preserve">70,9%</t>
  </si>
  <si>
    <t xml:space="preserve">30,0%</t>
  </si>
  <si>
    <t xml:space="preserve">1:27</t>
  </si>
  <si>
    <t xml:space="preserve">10,4%</t>
  </si>
  <si>
    <t xml:space="preserve">2,1%</t>
  </si>
  <si>
    <t xml:space="preserve">0:20</t>
  </si>
  <si>
    <t xml:space="preserve">7,1%</t>
  </si>
  <si>
    <t xml:space="preserve">23,0%</t>
  </si>
  <si>
    <t xml:space="preserve">4:23</t>
  </si>
  <si>
    <t xml:space="preserve">7,5%</t>
  </si>
  <si>
    <t xml:space="preserve">6,8%</t>
  </si>
  <si>
    <t xml:space="preserve">1:55</t>
  </si>
  <si>
    <t xml:space="preserve">2,0%</t>
  </si>
  <si>
    <t xml:space="preserve">23,3%</t>
  </si>
  <si>
    <t xml:space="preserve">11:25</t>
  </si>
  <si>
    <t xml:space="preserve">3,4%</t>
  </si>
  <si>
    <t xml:space="preserve">1,1%</t>
  </si>
  <si>
    <t xml:space="preserve">3:41</t>
  </si>
  <si>
    <t xml:space="preserve">3,1%</t>
  </si>
  <si>
    <t xml:space="preserve">0,7%</t>
  </si>
  <si>
    <t xml:space="preserve">4,8%</t>
  </si>
  <si>
    <t xml:space="preserve">7:27</t>
  </si>
  <si>
    <t xml:space="preserve">9:25</t>
  </si>
  <si>
    <t xml:space="preserve">Outros recursos do YouTube</t>
  </si>
  <si>
    <t xml:space="preserve">0,3%</t>
  </si>
  <si>
    <t xml:space="preserve">9:55</t>
  </si>
  <si>
    <t xml:space="preserve">P2 — Últimos 90 dias</t>
  </si>
  <si>
    <t xml:space="preserve">67,6%</t>
  </si>
  <si>
    <t xml:space="preserve">22,7%</t>
  </si>
  <si>
    <t xml:space="preserve">2:00</t>
  </si>
  <si>
    <t xml:space="preserve">25,4%</t>
  </si>
  <si>
    <t xml:space="preserve">6:59</t>
  </si>
  <si>
    <t xml:space="preserve">6,3%</t>
  </si>
  <si>
    <t xml:space="preserve">9,4%</t>
  </si>
  <si>
    <t xml:space="preserve">2:27</t>
  </si>
  <si>
    <t xml:space="preserve">28,0%</t>
  </si>
  <si>
    <t xml:space="preserve">12:57</t>
  </si>
  <si>
    <t xml:space="preserve">3,6%</t>
  </si>
  <si>
    <t xml:space="preserve">0:26</t>
  </si>
  <si>
    <t xml:space="preserve">1,6%</t>
  </si>
  <si>
    <t xml:space="preserve">3,2%</t>
  </si>
  <si>
    <t xml:space="preserve">5:59</t>
  </si>
  <si>
    <t xml:space="preserve">3,3%</t>
  </si>
  <si>
    <t xml:space="preserve">1,2%</t>
  </si>
  <si>
    <t xml:space="preserve">6,2%</t>
  </si>
  <si>
    <t xml:space="preserve">11:37</t>
  </si>
  <si>
    <t xml:space="preserve">1,0%</t>
  </si>
  <si>
    <t xml:space="preserve">10:58</t>
  </si>
  <si>
    <t xml:space="preserve">2,5%</t>
  </si>
  <si>
    <t xml:space="preserve">13:32</t>
  </si>
  <si>
    <t xml:space="preserve">P3 — Últimos 28 dias</t>
  </si>
  <si>
    <t xml:space="preserve">55,1%</t>
  </si>
  <si>
    <t xml:space="preserve">20,2%</t>
  </si>
  <si>
    <t xml:space="preserve">1:31</t>
  </si>
  <si>
    <t xml:space="preserve">17,0%</t>
  </si>
  <si>
    <t xml:space="preserve">25,7%</t>
  </si>
  <si>
    <t xml:space="preserve">6:07</t>
  </si>
  <si>
    <t xml:space="preserve">6,1%</t>
  </si>
  <si>
    <t xml:space="preserve">12,9%</t>
  </si>
  <si>
    <t xml:space="preserve">1:59</t>
  </si>
  <si>
    <t xml:space="preserve">36,5%</t>
  </si>
  <si>
    <t xml:space="preserve">13:20</t>
  </si>
  <si>
    <t xml:space="preserve">3,7%</t>
  </si>
  <si>
    <t xml:space="preserve">0:24</t>
  </si>
  <si>
    <t xml:space="preserve">2,4%</t>
  </si>
  <si>
    <t xml:space="preserve">5:23</t>
  </si>
  <si>
    <t xml:space="preserve">1,9%</t>
  </si>
  <si>
    <t xml:space="preserve">2,6%</t>
  </si>
  <si>
    <t xml:space="preserve">3:31</t>
  </si>
  <si>
    <t xml:space="preserve">3:46</t>
  </si>
  <si>
    <t xml:space="preserve">10:11</t>
  </si>
  <si>
    <t xml:space="preserve">P4 — 28 dias anteriores</t>
  </si>
  <si>
    <t xml:space="preserve">52,2%</t>
  </si>
  <si>
    <t xml:space="preserve">24,9%</t>
  </si>
  <si>
    <t xml:space="preserve">14,7%</t>
  </si>
  <si>
    <t xml:space="preserve">14,5%</t>
  </si>
  <si>
    <t xml:space="preserve">6:14</t>
  </si>
  <si>
    <t xml:space="preserve">7,7%</t>
  </si>
  <si>
    <t xml:space="preserve">32,1%</t>
  </si>
  <si>
    <t xml:space="preserve">13:02</t>
  </si>
  <si>
    <t xml:space="preserve">3,8%</t>
  </si>
  <si>
    <t xml:space="preserve">0:25</t>
  </si>
  <si>
    <t xml:space="preserve">2,9%</t>
  </si>
  <si>
    <t xml:space="preserve">5:13</t>
  </si>
  <si>
    <t xml:space="preserve">3:01</t>
  </si>
  <si>
    <t xml:space="preserve">0,9%</t>
  </si>
  <si>
    <t xml:space="preserve">6:16</t>
  </si>
  <si>
    <t xml:space="preserve">0,8%</t>
  </si>
  <si>
    <t xml:space="preserve">1:46</t>
  </si>
  <si>
    <t xml:space="preserve">LEITURA: dependência de mídia paga caindo (89,8%→70,9%→55,1% de BF→YTD→28d). "Vídeos sugeridos" tem poucas views mas muito tempo (avg 11–13 min) — o conteúdo longo retém muito via sugeridos. "Externa" e "Origem direta" têm as maiores durações médias.</t>
  </si>
  <si>
    <t xml:space="preserve">Engajamento — Longos vs Shorts vs Lives + Top por tempo</t>
  </si>
  <si>
    <t xml:space="preserve">Duração média e distribuição do tempo de exibição por tipo de conteúdo</t>
  </si>
  <si>
    <t xml:space="preserve">Tipo de conteúdo</t>
  </si>
  <si>
    <t xml:space="preserve">Shorts</t>
  </si>
  <si>
    <t xml:space="preserve">70,5%</t>
  </si>
  <si>
    <t xml:space="preserve">0:35</t>
  </si>
  <si>
    <t xml:space="preserve">Vídeos (longos)</t>
  </si>
  <si>
    <t xml:space="preserve">28,7%</t>
  </si>
  <si>
    <t xml:space="preserve">34,5%</t>
  </si>
  <si>
    <t xml:space="preserve">2:41</t>
  </si>
  <si>
    <t xml:space="preserve">Transmissão ao vivo</t>
  </si>
  <si>
    <t xml:space="preserve">40,2%</t>
  </si>
  <si>
    <t xml:space="preserve">32:05</t>
  </si>
  <si>
    <t xml:space="preserve">58,5%</t>
  </si>
  <si>
    <t xml:space="preserve">10,0%</t>
  </si>
  <si>
    <t xml:space="preserve">41,2%</t>
  </si>
  <si>
    <t xml:space="preserve">80,6%</t>
  </si>
  <si>
    <t xml:space="preserve">4:17</t>
  </si>
  <si>
    <t xml:space="preserve">9,5%</t>
  </si>
  <si>
    <t xml:space="preserve">27:41</t>
  </si>
  <si>
    <t xml:space="preserve">78,8%</t>
  </si>
  <si>
    <t xml:space="preserve">83,9%</t>
  </si>
  <si>
    <t xml:space="preserve">4:43</t>
  </si>
  <si>
    <t xml:space="preserve">20,1%</t>
  </si>
  <si>
    <t xml:space="preserve">1,5%</t>
  </si>
  <si>
    <t xml:space="preserve">27:59</t>
  </si>
  <si>
    <t xml:space="preserve">62,2%</t>
  </si>
  <si>
    <t xml:space="preserve">96,3%</t>
  </si>
  <si>
    <t xml:space="preserve">4:29</t>
  </si>
  <si>
    <t xml:space="preserve">37,6%</t>
  </si>
  <si>
    <t xml:space="preserve">16:12</t>
  </si>
  <si>
    <t xml:space="preserve">79,7%</t>
  </si>
  <si>
    <t xml:space="preserve">97,3%</t>
  </si>
  <si>
    <t xml:space="preserve">4:49</t>
  </si>
  <si>
    <t xml:space="preserve">19,8%</t>
  </si>
  <si>
    <t xml:space="preserve">1,3%</t>
  </si>
  <si>
    <t xml:space="preserve">0:21</t>
  </si>
  <si>
    <t xml:space="preserve">9:44</t>
  </si>
  <si>
    <t xml:space="preserve">LEITURA: Shorts geram VOLUME de views; vídeos longos e lives geram o TEMPO de exibição. O mix mudou ao longo de 2026 — de Shorts (58,5% das views no acumulado) para conteúdo longo (79,7% nas últimas 4 semanas).</t>
  </si>
  <si>
    <t xml:space="preserve">Top vídeos por TEMPO DE EXIBIÇÃO — P1 (YTD) — todos longos/lives</t>
  </si>
  <si>
    <t xml:space="preserve">4 ANOS STLFLIX | O PROTOCOLO (live 2:20:52)</t>
  </si>
  <si>
    <t xml:space="preserve">Mãe lucra com impressão 3D em casa (31:52)</t>
  </si>
  <si>
    <t xml:space="preserve">Ele Fatura R$50 MIL/mês (38:44)</t>
  </si>
  <si>
    <t xml:space="preserve">O topo de tempo de exibição é 100% conteúdo longo (lives e documentários de 30 min a 2h+). Esses vídeos também são os maiores geradores de inscritos (a live de aniversário gerou +4.887).</t>
  </si>
  <si>
    <t xml:space="preserve">Inscritos por tipo de conteúdo (P2 · 90 dias)</t>
  </si>
  <si>
    <t xml:space="preserve">Tipo</t>
  </si>
  <si>
    <t xml:space="preserve">Inscritos (líq.)</t>
  </si>
  <si>
    <t xml:space="preserve">% do total</t>
  </si>
  <si>
    <t xml:space="preserve">64,0%</t>
  </si>
  <si>
    <t xml:space="preserve">21,6%</t>
  </si>
  <si>
    <t xml:space="preserve">Outros</t>
  </si>
  <si>
    <t xml:space="preserve">10,3%</t>
  </si>
  <si>
    <t xml:space="preserve">4,1%</t>
  </si>
  <si>
    <t xml:space="preserve">Conteúdo longo (vídeos + lives) = ~86% dos novos inscritos nos últimos 90 dias. Shorts contribuíram apenas 4,1%.</t>
  </si>
  <si>
    <t xml:space="preserve">Público-alvo — Recorrentes vs Novos, Demografia e Comportamento</t>
  </si>
  <si>
    <t xml:space="preserve">Recorrentes vs novos é o dado prioritário; demografia = retrato de 28 dias (estável)</t>
  </si>
  <si>
    <t xml:space="preserve">★ Recorrentes vs Novos (por período) — o dado mais importante</t>
  </si>
  <si>
    <t xml:space="preserve">Novos %views</t>
  </si>
  <si>
    <t xml:space="preserve">Novos tempo%</t>
  </si>
  <si>
    <t xml:space="preserve">Novos dur.</t>
  </si>
  <si>
    <t xml:space="preserve">Recorr. %views</t>
  </si>
  <si>
    <t xml:space="preserve">Recorr. tempo%</t>
  </si>
  <si>
    <t xml:space="preserve">Recorr. dur.</t>
  </si>
  <si>
    <t xml:space="preserve">Desconh. %views</t>
  </si>
  <si>
    <t xml:space="preserve">54,2%</t>
  </si>
  <si>
    <t xml:space="preserve">31,0%</t>
  </si>
  <si>
    <t xml:space="preserve">1:44</t>
  </si>
  <si>
    <t xml:space="preserve">37,3%</t>
  </si>
  <si>
    <t xml:space="preserve">67,5%</t>
  </si>
  <si>
    <t xml:space="preserve">3:58</t>
  </si>
  <si>
    <t xml:space="preserve">7,9%</t>
  </si>
  <si>
    <t xml:space="preserve">42,1%</t>
  </si>
  <si>
    <t xml:space="preserve">27,0%</t>
  </si>
  <si>
    <t xml:space="preserve">4:01</t>
  </si>
  <si>
    <t xml:space="preserve">34,7%</t>
  </si>
  <si>
    <t xml:space="preserve">71,3%</t>
  </si>
  <si>
    <t xml:space="preserve">7:39</t>
  </si>
  <si>
    <t xml:space="preserve">21,1%</t>
  </si>
  <si>
    <t xml:space="preserve">36,3%</t>
  </si>
  <si>
    <t xml:space="preserve">24,7%</t>
  </si>
  <si>
    <t xml:space="preserve">3:43</t>
  </si>
  <si>
    <t xml:space="preserve">33,9%</t>
  </si>
  <si>
    <t xml:space="preserve">7:09</t>
  </si>
  <si>
    <t xml:space="preserve">22,1%</t>
  </si>
  <si>
    <t xml:space="preserve">37,8%</t>
  </si>
  <si>
    <t xml:space="preserve">30,6%</t>
  </si>
  <si>
    <t xml:space="preserve">3:35</t>
  </si>
  <si>
    <t xml:space="preserve">38,9%</t>
  </si>
  <si>
    <t xml:space="preserve">69,0%</t>
  </si>
  <si>
    <t xml:space="preserve">7:02</t>
  </si>
  <si>
    <t xml:space="preserve">23,4%</t>
  </si>
  <si>
    <t xml:space="preserve">62,3%</t>
  </si>
  <si>
    <t xml:space="preserve">33,5%</t>
  </si>
  <si>
    <t xml:space="preserve">1:11</t>
  </si>
  <si>
    <t xml:space="preserve">37,7%</t>
  </si>
  <si>
    <t xml:space="preserve">66,5%</t>
  </si>
  <si>
    <t xml:space="preserve">3:11</t>
  </si>
  <si>
    <t xml:space="preserve">0,0%</t>
  </si>
  <si>
    <t xml:space="preserve">LEITURA: os RECORRENTES sustentam 66–71% do TEMPO em todos os períodos (assistem ~2x mais que novos). Na Black Friday, 62,3% das views foram de público NOVO mas com retenção baixíssima (avg 1:11) — mídia trouxe muita gente fria. "Desconhecido" = tráfego de Shorts/deslogados (cresce em 2026).</t>
  </si>
  <si>
    <t xml:space="preserve">Inscritos vs Não inscritos (por tempo de exibição)</t>
  </si>
  <si>
    <t xml:space="preserve">Não inscrito %views</t>
  </si>
  <si>
    <t xml:space="preserve">Não insc. dur.</t>
  </si>
  <si>
    <t xml:space="preserve">Inscrito %views</t>
  </si>
  <si>
    <t xml:space="preserve">Inscrito dur.</t>
  </si>
  <si>
    <t xml:space="preserve">Inscrito % do tempo</t>
  </si>
  <si>
    <t xml:space="preserve">P1 · YTD</t>
  </si>
  <si>
    <t xml:space="preserve">94,3%</t>
  </si>
  <si>
    <t xml:space="preserve">2:07</t>
  </si>
  <si>
    <t xml:space="preserve">95,4%</t>
  </si>
  <si>
    <t xml:space="preserve">1:38</t>
  </si>
  <si>
    <t xml:space="preserve">4,6%</t>
  </si>
  <si>
    <t xml:space="preserve">8:15</t>
  </si>
  <si>
    <t xml:space="preserve">25,9%</t>
  </si>
  <si>
    <t xml:space="preserve">P3 · 28 dias (por tempo)</t>
  </si>
  <si>
    <t xml:space="preserve">66,9%</t>
  </si>
  <si>
    <t xml:space="preserve">33,1%</t>
  </si>
  <si>
    <t xml:space="preserve">Inscritos são ~5% das views mas ~25% do tempo, com duração média de 7–8 min (vs ~2 min dos não inscritos). São o núcleo engajado do canal.</t>
  </si>
  <si>
    <t xml:space="preserve">Perfil do público (retrato de 28 dias — estável)</t>
  </si>
  <si>
    <t xml:space="preserve">Idade</t>
  </si>
  <si>
    <t xml:space="preserve">Gênero</t>
  </si>
  <si>
    <t xml:space="preserve">Dispositivo (tempo)</t>
  </si>
  <si>
    <t xml:space="preserve">% </t>
  </si>
  <si>
    <t xml:space="preserve">13–17</t>
  </si>
  <si>
    <t xml:space="preserve">7,3%</t>
  </si>
  <si>
    <t xml:space="preserve">Masculino</t>
  </si>
  <si>
    <t xml:space="preserve">68,6%</t>
  </si>
  <si>
    <t xml:space="preserve">TV</t>
  </si>
  <si>
    <t xml:space="preserve">48,1%</t>
  </si>
  <si>
    <t xml:space="preserve">18–24</t>
  </si>
  <si>
    <t xml:space="preserve">Feminino</t>
  </si>
  <si>
    <t xml:space="preserve">31,4%</t>
  </si>
  <si>
    <t xml:space="preserve">Computador</t>
  </si>
  <si>
    <t xml:space="preserve">25,1%</t>
  </si>
  <si>
    <t xml:space="preserve">25–34</t>
  </si>
  <si>
    <t xml:space="preserve">29,0%</t>
  </si>
  <si>
    <t xml:space="preserve">Dispositivo móvel</t>
  </si>
  <si>
    <t xml:space="preserve">24,0%</t>
  </si>
  <si>
    <t xml:space="preserve">35–44</t>
  </si>
  <si>
    <t xml:space="preserve">Tablet</t>
  </si>
  <si>
    <t xml:space="preserve">2,3%</t>
  </si>
  <si>
    <t xml:space="preserve">45–54</t>
  </si>
  <si>
    <t xml:space="preserve">17,4%</t>
  </si>
  <si>
    <t xml:space="preserve">55–64</t>
  </si>
  <si>
    <t xml:space="preserve">6,6%</t>
  </si>
  <si>
    <t xml:space="preserve">65+</t>
  </si>
  <si>
    <t xml:space="preserve">Localização · Legendas · Notificações (28 dias)</t>
  </si>
  <si>
    <t xml:space="preserve">Localização (views)</t>
  </si>
  <si>
    <t xml:space="preserve">%</t>
  </si>
  <si>
    <t xml:space="preserve">Legendas (views)</t>
  </si>
  <si>
    <t xml:space="preserve">Notificações (sino)</t>
  </si>
  <si>
    <t xml:space="preserve">Brasil</t>
  </si>
  <si>
    <t xml:space="preserve">84,3%</t>
  </si>
  <si>
    <t xml:space="preserve">Sem legendas</t>
  </si>
  <si>
    <t xml:space="preserve">85,6%</t>
  </si>
  <si>
    <t xml:space="preserve">Marcaram "Todas" (9,6 mil)</t>
  </si>
  <si>
    <t xml:space="preserve">11,6%</t>
  </si>
  <si>
    <t xml:space="preserve">Portugal</t>
  </si>
  <si>
    <t xml:space="preserve">Português</t>
  </si>
  <si>
    <t xml:space="preserve">Todas + notif. YT ativas (6,2 mil)</t>
  </si>
  <si>
    <t xml:space="preserve">7,4%</t>
  </si>
  <si>
    <t xml:space="preserve">Estados Unidos</t>
  </si>
  <si>
    <t xml:space="preserve">Inglês</t>
  </si>
  <si>
    <t xml:space="preserve">México / Argentina</t>
  </si>
  <si>
    <t xml:space="preserve">0,2% / 0,2%</t>
  </si>
  <si>
    <t xml:space="preserve">Horários de atividade &amp; canais assistidos</t>
  </si>
  <si>
    <t xml:space="preserve">Horário de pico do público (fuso local BRT): 11h–21h, mais intenso entre 13h e 19h; tardes de sábado e domingo fortes; madrugada (00h–06h) baixa. (O YouTube observa que o horário de publicação não afeta o desempenho a longo prazo.)</t>
  </si>
  <si>
    <t xml:space="preserve">Canais que o público também assiste: Lari Mendes (154k · embaixadora), 3D Print Academy (583k), CAÇADORES DE RENDA (143k), IMPRESSIONADO3D (33,4k), Criart 3D (9,4k).</t>
  </si>
  <si>
    <t xml:space="preserve">Inscritos — Série mensal (ganhos, perdas, líquido)</t>
  </si>
  <si>
    <t xml:space="preserve">Não só o total: evolução mês a mês em 2026 + dias de maior perda</t>
  </si>
  <si>
    <t xml:space="preserve">Série mensal 2026 (ganhos = líquido + perdidas)</t>
  </si>
  <si>
    <t xml:space="preserve">Mês</t>
  </si>
  <si>
    <t xml:space="preserve">Ganhos brutos</t>
  </si>
  <si>
    <t xml:space="preserve">Perdidas</t>
  </si>
  <si>
    <t xml:space="preserve">Líquido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</si>
  <si>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</si>
  <si>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</si>
  <si>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</si>
  <si>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</si>
  <si>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</si>
  <si>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</si>
  <si>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</si>
  <si>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</si>
  <si>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 (até 09)</t>
  </si>
  <si>
    <t xml:space="preserve">TOTAL YTD</t>
  </si>
  <si>
    <t xml:space="preserve">Julho foi o pico (+11.898 líquido), puxado pela live "4 ANOS STLFLIX" (+4.887 num dia). Crescimento acelerou de abril a julho e esfriou em ago–set. Taxa de perda ~8,8% dos ganhos brutos.</t>
  </si>
  <si>
    <t xml:space="preserve">Ganhos líquidos por período de análise</t>
  </si>
  <si>
    <t xml:space="preserve">Inscritos líquidos</t>
  </si>
  <si>
    <t xml:space="preserve">P5 · Black Friday 2025</t>
  </si>
  <si>
    <t xml:space="preserve">P4 · 28 dias anteriores</t>
  </si>
  <si>
    <t xml:space="preserve">P3 · Últimos 28 dias</t>
  </si>
  <si>
    <t xml:space="preserve">Dias de maior PERDA de inscritos (YTD 2026)</t>
  </si>
  <si>
    <t xml:space="preserve">Data</t>
  </si>
  <si>
    <t xml:space="preserve">Perdas no dia</t>
  </si>
  <si>
    <t xml:space="preserve">08/jul</t>
  </si>
  <si>
    <t xml:space="preserve">Dia de live (mas +5.305 líquido)</t>
  </si>
  <si>
    <t xml:space="preserve">29/abr</t>
  </si>
  <si>
    <t xml:space="preserve">09/jul</t>
  </si>
  <si>
    <t xml:space="preserve">11/mai</t>
  </si>
  <si>
    <t xml:space="preserve">30/abr</t>
  </si>
  <si>
    <t xml:space="preserve">09/mai</t>
  </si>
  <si>
    <t xml:space="preserve">25/jul</t>
  </si>
  <si>
    <t xml:space="preserve">10/mai</t>
  </si>
  <si>
    <t xml:space="preserve">15/mai</t>
  </si>
  <si>
    <t xml:space="preserve">Baseline de perdas ~10–40/dia. Picos de perda coincidem com dias de grande alcance (lives), mas o saldo líquido nesses dias é fortemente positivo.</t>
  </si>
  <si>
    <t xml:space="preserve">Retenção de Público — Vitalícia (5 vídeos)</t>
  </si>
  <si>
    <t xml:space="preserve">Curvas "Desde a publicação". Um dos vídeos solicitados não tem dados (ver abaixo).</t>
  </si>
  <si>
    <t xml:space="preserve">ID</t>
  </si>
  <si>
    <t xml:space="preserve">Vídeo (tipo/duração)</t>
  </si>
  <si>
    <t xml:space="preserve">Views vitalício</t>
  </si>
  <si>
    <t xml:space="preserve">% assistida</t>
  </si>
  <si>
    <t xml:space="preserve">Retenção-chave</t>
  </si>
  <si>
    <t xml:space="preserve">Continuaram*</t>
  </si>
  <si>
    <t xml:space="preserve">f5f3TEhFpGo</t>
  </si>
  <si>
    <t xml:space="preserve">TIPS - Dica p/ impressões a prova d'água (Short 0:45)</t>
  </si>
  <si>
    <t xml:space="preserve">0:31</t>
  </si>
  <si>
    <t xml:space="preserve">~69%</t>
  </si>
  <si>
    <t xml:space="preserve">~36% aos 0:22</t>
  </si>
  <si>
    <t xml:space="preserve">94,1%</t>
  </si>
  <si>
    <t xml:space="preserve">pRFKfBxGRtI</t>
  </si>
  <si>
    <t xml:space="preserve">R$20 Mil/Mês vendendo impressão 3d (longo 36:04)</t>
  </si>
  <si>
    <t xml:space="preserve">3:34</t>
  </si>
  <si>
    <t xml:space="preserve">9,8%</t>
  </si>
  <si>
    <t xml:space="preserve">69% aos 0:30 (ACIMA média)</t>
  </si>
  <si>
    <t xml:space="preserve">2tqvuHWPGGY</t>
  </si>
  <si>
    <t xml:space="preserve">Lucrando com impressão 3D (Short 0:18)</t>
  </si>
  <si>
    <t xml:space="preserve">SEM DADOS</t>
  </si>
  <si>
    <t xml:space="preserve">D_kBytQkxT4</t>
  </si>
  <si>
    <t xml:space="preserve">Eu já tinha testado infills PLA (Short 1:26)</t>
  </si>
  <si>
    <t xml:space="preserve">1:00</t>
  </si>
  <si>
    <t xml:space="preserve">~70%</t>
  </si>
  <si>
    <t xml:space="preserve">33% aos 0:30 (ABAIXO média)</t>
  </si>
  <si>
    <t xml:space="preserve">73,1%</t>
  </si>
  <si>
    <t xml:space="preserve">Eleve o nível do Nintendo Switch (Short 0:18) ★ maior mídia</t>
  </si>
  <si>
    <t xml:space="preserve">0:18</t>
  </si>
  <si>
    <t xml:space="preserve">60–180% (loops)</t>
  </si>
  <si>
    <t xml:space="preserve">90,7%</t>
  </si>
  <si>
    <t xml:space="preserve">* "Continuaram" = % que não pulou o Short nos primeiros segundos (métrica de Shorts). "% assistida" = porcentagem média da duração vista.</t>
  </si>
  <si>
    <t xml:space="preserve">Descrição das curvas de retenção (vitalícias)</t>
  </si>
  <si>
    <t xml:space="preserve">V1 · TIPS prova d'água (Short 0:45)</t>
  </si>
  <si>
    <t xml:space="preserve">Começa ~100%, queda inicial suave, ~36% aos 0:22, termina ~30%. Tráfego 93,9% navegação (orgânico). Excelente vídeo evergreen.</t>
  </si>
  <si>
    <t xml:space="preserve">V2 · R$20 Mil/Mês (longo 36:04)</t>
  </si>
  <si>
    <t xml:space="preserve">Gancho forte: 69% ainda assistindo aos 0:30 (acima da média do canal). Queda inicial acentuada e cauda longa até ~15% no fim. Likes 98,3%.</t>
  </si>
  <si>
    <t xml:space="preserve">V3 · Lucrando com impressão 3D (Short 0:18)</t>
  </si>
  <si>
    <t xml:space="preserve">SEM DADOS DE RETENÇÃO. Zero visualizações registradas mesmo em "Desde o envio" — provavelmente privado/não listado ou sem alcance. Reportado explicitamente.</t>
  </si>
  <si>
    <t xml:space="preserve">V4 · Infills PLA (Short 1:26)</t>
  </si>
  <si>
    <t xml:space="preserve">73,1% continuaram, mas só 33% aos 0:30 (ABAIXO da média) — gancho de meio fraco. Termina ~15%. Oportunidade de melhorar retenção intermediária.</t>
  </si>
  <si>
    <t xml:space="preserve">V5 · Nintendo Switch (Short 0:18) ★</t>
  </si>
  <si>
    <t xml:space="preserve">Maior investimento em mídia (11,3M impressões vitalícias, CTR 8,4%). Retenção excepcional: 60–180% (loops/rewatches), avg 100%, 90,7% continuaram. Criativo de anúncio muito otimizado.</t>
  </si>
  <si>
    <t xml:space="preserve">Como identificamos o "vídeo de maior investimento em mídia": o Studio não expõe gasto de anúncio, então usamos IMPRESSÕES de miniatura vitalícias como proxy. "Eleve o nível do Nintendo Switch" lidera com 11,3M de impressões (2º: "Isso ficou muito bom!" com 7,6M).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</si>
</sst>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2E5AAC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1A2B4A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2B4A"/>
        <bgColor rgb="FF222222"/>
      </patternFill>
    </fill>
    <fill>
      <patternFill patternType="solid">
        <fgColor rgb="FF2E5AAC"/>
        <bgColor rgb="FF3366FF"/>
      </patternFill>
    </fill>
    <fill>
      <patternFill patternType="solid">
        <fgColor rgb="FFD6E0F0"/>
        <bgColor rgb="FFC9D2E0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0F2F5"/>
        <bgColor rgb="FFE2EFDA"/>
      </patternFill>
    </fill>
    <fill>
      <patternFill patternType="solid">
        <fgColor rgb="FFE2EFDA"/>
        <bgColor rgb="FFF0F2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F7C7C"/>
      <rgbColor rgb="FFC0C0C0"/>
      <rgbColor rgb="FF808080"/>
      <rgbColor rgb="FF9999FF"/>
      <rgbColor rgb="FF7A3E9D"/>
      <rgbColor rgb="FFFFF2CC"/>
      <rgbColor rgb="FFF0F2F5"/>
      <rgbColor rgb="FF660066"/>
      <rgbColor rgb="FFFF8080"/>
      <rgbColor rgb="FF2E5AAC"/>
      <rgbColor rgb="FFC9D2E0"/>
      <rgbColor rgb="FF000080"/>
      <rgbColor rgb="FFFF00FF"/>
      <rgbColor rgb="FFFFFF00"/>
      <rgbColor rgb="FF00FFFF"/>
      <rgbColor rgb="FF800080"/>
      <rgbColor rgb="FF800000"/>
      <rgbColor rgb="FF1F7A4D"/>
      <rgbColor rgb="FF0000FF"/>
      <rgbColor rgb="FF00CCFF"/>
      <rgbColor rgb="FFD6E0F0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222222"/>
      <rgbColor rgb="FFC0392B"/>
      <rgbColor rgb="FF993366"/>
      <rgbColor rgb="FF333399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B4A"/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7" min="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B5" s="4" t="s">
        <v>3</v>
      </c>
      <c r="C5" s="4"/>
      <c r="D5" s="4"/>
      <c r="E5" s="4"/>
      <c r="F5" s="4"/>
      <c r="G5" s="4"/>
    </row>
    <row r="6" customFormat="false" ht="15" hidden="false" customHeight="false" outlineLevel="0" collapsed="false">
      <c r="B6" s="4"/>
      <c r="C6" s="4"/>
      <c r="D6" s="4"/>
      <c r="E6" s="4"/>
      <c r="F6" s="4"/>
      <c r="G6" s="4"/>
    </row>
    <row r="8" customFormat="false" ht="15" hidden="false" customHeight="false" outlineLevel="0" collapsed="false">
      <c r="A8" s="3" t="s">
        <v>4</v>
      </c>
    </row>
    <row r="9" customFormat="false" ht="30" hidden="false" customHeight="true" outlineLevel="0" collapsed="false">
      <c r="A9" s="5" t="s">
        <v>5</v>
      </c>
      <c r="B9" s="5" t="s">
        <v>6</v>
      </c>
      <c r="C9" s="5" t="s">
        <v>7</v>
      </c>
      <c r="D9" s="5" t="s">
        <v>8</v>
      </c>
    </row>
    <row r="10" customFormat="false" ht="15" hidden="false" customHeight="false" outlineLevel="0" collapsed="false">
      <c r="A10" s="6" t="s">
        <v>9</v>
      </c>
      <c r="B10" s="7" t="s">
        <v>10</v>
      </c>
      <c r="C10" s="7" t="s">
        <v>11</v>
      </c>
      <c r="D10" s="7" t="s">
        <v>12</v>
      </c>
    </row>
    <row r="11" customFormat="false" ht="15" hidden="false" customHeight="false" outlineLevel="0" collapsed="false">
      <c r="A11" s="6" t="s">
        <v>13</v>
      </c>
      <c r="B11" s="7" t="s">
        <v>14</v>
      </c>
      <c r="C11" s="7" t="s">
        <v>15</v>
      </c>
      <c r="D11" s="7" t="s">
        <v>16</v>
      </c>
    </row>
    <row r="12" customFormat="false" ht="15" hidden="false" customHeight="false" outlineLevel="0" collapsed="false">
      <c r="A12" s="6" t="s">
        <v>17</v>
      </c>
      <c r="B12" s="7" t="s">
        <v>18</v>
      </c>
      <c r="C12" s="7" t="s">
        <v>19</v>
      </c>
      <c r="D12" s="7" t="s">
        <v>20</v>
      </c>
    </row>
    <row r="13" customFormat="false" ht="15" hidden="false" customHeight="false" outlineLevel="0" collapsed="false">
      <c r="A13" s="6" t="s">
        <v>21</v>
      </c>
      <c r="B13" s="7" t="s">
        <v>22</v>
      </c>
      <c r="C13" s="7" t="s">
        <v>23</v>
      </c>
      <c r="D13" s="7" t="s">
        <v>24</v>
      </c>
    </row>
    <row r="14" customFormat="false" ht="23.85" hidden="false" customHeight="false" outlineLevel="0" collapsed="false">
      <c r="A14" s="6" t="s">
        <v>25</v>
      </c>
      <c r="B14" s="7" t="s">
        <v>26</v>
      </c>
      <c r="C14" s="7" t="s">
        <v>27</v>
      </c>
      <c r="D14" s="7" t="s">
        <v>28</v>
      </c>
    </row>
    <row r="16" customFormat="false" ht="15" hidden="false" customHeight="false" outlineLevel="0" collapsed="false">
      <c r="A16" s="3" t="s">
        <v>29</v>
      </c>
    </row>
    <row r="17" customFormat="false" ht="45.75" hidden="false" customHeight="true" outlineLevel="0" collapsed="false">
      <c r="A17" s="8" t="s">
        <v>30</v>
      </c>
      <c r="B17" s="9" t="s">
        <v>31</v>
      </c>
      <c r="C17" s="10" t="s">
        <v>32</v>
      </c>
      <c r="D17" s="10"/>
      <c r="E17" s="10"/>
      <c r="F17" s="10"/>
      <c r="G17" s="10"/>
    </row>
    <row r="18" customFormat="false" ht="45.75" hidden="false" customHeight="true" outlineLevel="0" collapsed="false">
      <c r="A18" s="11" t="s">
        <v>30</v>
      </c>
      <c r="B18" s="12" t="s">
        <v>33</v>
      </c>
      <c r="C18" s="13" t="s">
        <v>34</v>
      </c>
      <c r="D18" s="13"/>
      <c r="E18" s="13"/>
      <c r="F18" s="13"/>
      <c r="G18" s="13"/>
    </row>
    <row r="19" customFormat="false" ht="45.75" hidden="false" customHeight="true" outlineLevel="0" collapsed="false">
      <c r="A19" s="11" t="s">
        <v>30</v>
      </c>
      <c r="B19" s="12" t="s">
        <v>35</v>
      </c>
      <c r="C19" s="13" t="s">
        <v>36</v>
      </c>
      <c r="D19" s="13"/>
      <c r="E19" s="13"/>
      <c r="F19" s="13"/>
      <c r="G19" s="13"/>
    </row>
    <row r="20" customFormat="false" ht="45.75" hidden="false" customHeight="true" outlineLevel="0" collapsed="false">
      <c r="A20" s="8" t="s">
        <v>30</v>
      </c>
      <c r="B20" s="9" t="s">
        <v>37</v>
      </c>
      <c r="C20" s="10" t="s">
        <v>38</v>
      </c>
      <c r="D20" s="10"/>
      <c r="E20" s="10"/>
      <c r="F20" s="10"/>
      <c r="G20" s="10"/>
    </row>
    <row r="21" customFormat="false" ht="45.75" hidden="false" customHeight="true" outlineLevel="0" collapsed="false">
      <c r="A21" s="14" t="s">
        <v>30</v>
      </c>
      <c r="B21" s="15" t="s">
        <v>39</v>
      </c>
      <c r="C21" s="16" t="s">
        <v>40</v>
      </c>
      <c r="D21" s="16"/>
      <c r="E21" s="16"/>
      <c r="F21" s="16"/>
      <c r="G21" s="16"/>
    </row>
    <row r="22" customFormat="false" ht="45.75" hidden="false" customHeight="true" outlineLevel="0" collapsed="false">
      <c r="A22" s="14" t="s">
        <v>30</v>
      </c>
      <c r="B22" s="15" t="s">
        <v>41</v>
      </c>
      <c r="C22" s="16" t="s">
        <v>42</v>
      </c>
      <c r="D22" s="16"/>
      <c r="E22" s="16"/>
      <c r="F22" s="16"/>
      <c r="G22" s="16"/>
    </row>
    <row r="24" customFormat="false" ht="15" hidden="false" customHeight="false" outlineLevel="0" collapsed="false">
      <c r="A24" s="3" t="s">
        <v>43</v>
      </c>
    </row>
    <row r="25" customFormat="false" ht="15" hidden="false" customHeight="true" outlineLevel="0" collapsed="false">
      <c r="B25" s="17" t="s">
        <v>44</v>
      </c>
      <c r="C25" s="18" t="s">
        <v>45</v>
      </c>
      <c r="D25" s="18"/>
      <c r="E25" s="18"/>
      <c r="F25" s="18"/>
      <c r="G25" s="18"/>
    </row>
    <row r="26" customFormat="false" ht="15" hidden="false" customHeight="true" outlineLevel="0" collapsed="false">
      <c r="B26" s="17" t="s">
        <v>46</v>
      </c>
      <c r="C26" s="18" t="s">
        <v>47</v>
      </c>
      <c r="D26" s="18"/>
      <c r="E26" s="18"/>
      <c r="F26" s="18"/>
      <c r="G26" s="18"/>
    </row>
    <row r="27" customFormat="false" ht="15" hidden="false" customHeight="true" outlineLevel="0" collapsed="false">
      <c r="B27" s="17" t="s">
        <v>48</v>
      </c>
      <c r="C27" s="18" t="s">
        <v>49</v>
      </c>
      <c r="D27" s="18"/>
      <c r="E27" s="18"/>
      <c r="F27" s="18"/>
      <c r="G27" s="18"/>
    </row>
    <row r="28" customFormat="false" ht="15" hidden="false" customHeight="true" outlineLevel="0" collapsed="false">
      <c r="B28" s="17" t="s">
        <v>50</v>
      </c>
      <c r="C28" s="18" t="s">
        <v>51</v>
      </c>
      <c r="D28" s="18"/>
      <c r="E28" s="18"/>
      <c r="F28" s="18"/>
      <c r="G28" s="18"/>
    </row>
    <row r="29" customFormat="false" ht="15" hidden="false" customHeight="true" outlineLevel="0" collapsed="false">
      <c r="B29" s="17" t="s">
        <v>52</v>
      </c>
      <c r="C29" s="18" t="s">
        <v>53</v>
      </c>
      <c r="D29" s="18"/>
      <c r="E29" s="18"/>
      <c r="F29" s="18"/>
      <c r="G29" s="18"/>
    </row>
    <row r="30" customFormat="false" ht="15" hidden="false" customHeight="true" outlineLevel="0" collapsed="false">
      <c r="B30" s="17" t="s">
        <v>54</v>
      </c>
      <c r="C30" s="18" t="s">
        <v>55</v>
      </c>
      <c r="D30" s="18"/>
      <c r="E30" s="18"/>
      <c r="F30" s="18"/>
      <c r="G30" s="18"/>
    </row>
  </sheetData>
  <mergeCells count="15">
    <mergeCell ref="A1:H1"/>
    <mergeCell ref="A2:H2"/>
    <mergeCell ref="B5:G6"/>
    <mergeCell ref="C17:G17"/>
    <mergeCell ref="C18:G18"/>
    <mergeCell ref="C19:G19"/>
    <mergeCell ref="C20:G20"/>
    <mergeCell ref="C21:G21"/>
    <mergeCell ref="C22:G22"/>
    <mergeCell ref="C25:G25"/>
    <mergeCell ref="C26:G26"/>
    <mergeCell ref="C27:G27"/>
    <mergeCell ref="C28:G28"/>
    <mergeCell ref="C29:G29"/>
    <mergeCell ref="C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8" min="3" style="0" width="15"/>
  </cols>
  <sheetData>
    <row r="1" customFormat="false" ht="30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57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58</v>
      </c>
    </row>
    <row r="5" customFormat="false" ht="15" hidden="false" customHeight="true" outlineLevel="0" collapsed="false">
      <c r="B5" s="19" t="s">
        <v>59</v>
      </c>
      <c r="C5" s="19"/>
      <c r="D5" s="19"/>
      <c r="E5" s="19"/>
      <c r="F5" s="19"/>
      <c r="G5" s="19"/>
      <c r="H5" s="19"/>
    </row>
    <row r="6" customFormat="false" ht="43.5" hidden="false" customHeight="true" outlineLevel="0" collapsed="false">
      <c r="B6" s="4" t="s">
        <v>60</v>
      </c>
      <c r="C6" s="4"/>
      <c r="D6" s="4"/>
      <c r="E6" s="4"/>
      <c r="F6" s="4"/>
      <c r="G6" s="4"/>
      <c r="H6" s="4"/>
    </row>
    <row r="8" customFormat="false" ht="15" hidden="false" customHeight="true" outlineLevel="0" collapsed="false">
      <c r="B8" s="19" t="s">
        <v>61</v>
      </c>
      <c r="C8" s="19"/>
      <c r="D8" s="19"/>
      <c r="E8" s="19"/>
      <c r="F8" s="19"/>
      <c r="G8" s="19"/>
      <c r="H8" s="19"/>
    </row>
    <row r="9" customFormat="false" ht="43.5" hidden="false" customHeight="true" outlineLevel="0" collapsed="false">
      <c r="B9" s="4" t="s">
        <v>62</v>
      </c>
      <c r="C9" s="4"/>
      <c r="D9" s="4"/>
      <c r="E9" s="4"/>
      <c r="F9" s="4"/>
      <c r="G9" s="4"/>
      <c r="H9" s="4"/>
    </row>
    <row r="11" customFormat="false" ht="15" hidden="false" customHeight="true" outlineLevel="0" collapsed="false">
      <c r="B11" s="19" t="s">
        <v>63</v>
      </c>
      <c r="C11" s="19"/>
      <c r="D11" s="19"/>
      <c r="E11" s="19"/>
      <c r="F11" s="19"/>
      <c r="G11" s="19"/>
      <c r="H11" s="19"/>
    </row>
    <row r="12" customFormat="false" ht="43.5" hidden="false" customHeight="true" outlineLevel="0" collapsed="false">
      <c r="B12" s="4" t="s">
        <v>64</v>
      </c>
      <c r="C12" s="4"/>
      <c r="D12" s="4"/>
      <c r="E12" s="4"/>
      <c r="F12" s="4"/>
      <c r="G12" s="4"/>
      <c r="H12" s="4"/>
    </row>
    <row r="14" customFormat="false" ht="15" hidden="false" customHeight="true" outlineLevel="0" collapsed="false">
      <c r="B14" s="19" t="s">
        <v>65</v>
      </c>
      <c r="C14" s="19"/>
      <c r="D14" s="19"/>
      <c r="E14" s="19"/>
      <c r="F14" s="19"/>
      <c r="G14" s="19"/>
      <c r="H14" s="19"/>
    </row>
    <row r="15" customFormat="false" ht="43.5" hidden="false" customHeight="true" outlineLevel="0" collapsed="false">
      <c r="B15" s="4" t="s">
        <v>66</v>
      </c>
      <c r="C15" s="4"/>
      <c r="D15" s="4"/>
      <c r="E15" s="4"/>
      <c r="F15" s="4"/>
      <c r="G15" s="4"/>
      <c r="H15" s="4"/>
    </row>
    <row r="17" customFormat="false" ht="15" hidden="false" customHeight="true" outlineLevel="0" collapsed="false">
      <c r="B17" s="19" t="s">
        <v>67</v>
      </c>
      <c r="C17" s="19"/>
      <c r="D17" s="19"/>
      <c r="E17" s="19"/>
      <c r="F17" s="19"/>
      <c r="G17" s="19"/>
      <c r="H17" s="19"/>
    </row>
    <row r="18" customFormat="false" ht="43.5" hidden="false" customHeight="true" outlineLevel="0" collapsed="false">
      <c r="B18" s="4" t="s">
        <v>68</v>
      </c>
      <c r="C18" s="4"/>
      <c r="D18" s="4"/>
      <c r="E18" s="4"/>
      <c r="F18" s="4"/>
      <c r="G18" s="4"/>
      <c r="H18" s="4"/>
    </row>
    <row r="20" customFormat="false" ht="15" hidden="false" customHeight="true" outlineLevel="0" collapsed="false">
      <c r="B20" s="19" t="s">
        <v>69</v>
      </c>
      <c r="C20" s="19"/>
      <c r="D20" s="19"/>
      <c r="E20" s="19"/>
      <c r="F20" s="19"/>
      <c r="G20" s="19"/>
      <c r="H20" s="19"/>
    </row>
    <row r="21" customFormat="false" ht="43.5" hidden="false" customHeight="true" outlineLevel="0" collapsed="false">
      <c r="B21" s="4" t="s">
        <v>70</v>
      </c>
      <c r="C21" s="4"/>
      <c r="D21" s="4"/>
      <c r="E21" s="4"/>
      <c r="F21" s="4"/>
      <c r="G21" s="4"/>
      <c r="H21" s="4"/>
    </row>
    <row r="24" customFormat="false" ht="15" hidden="false" customHeight="false" outlineLevel="0" collapsed="false">
      <c r="A24" s="3" t="s">
        <v>71</v>
      </c>
    </row>
    <row r="25" customFormat="false" ht="31.5" hidden="false" customHeight="true" outlineLevel="0" collapsed="false">
      <c r="B25" s="20" t="n">
        <v>1</v>
      </c>
      <c r="C25" s="4" t="s">
        <v>72</v>
      </c>
      <c r="D25" s="4"/>
      <c r="E25" s="4"/>
      <c r="F25" s="4"/>
      <c r="G25" s="4"/>
      <c r="H25" s="4"/>
    </row>
    <row r="26" customFormat="false" ht="31.5" hidden="false" customHeight="true" outlineLevel="0" collapsed="false">
      <c r="B26" s="20" t="n">
        <v>2</v>
      </c>
      <c r="C26" s="4" t="s">
        <v>73</v>
      </c>
      <c r="D26" s="4"/>
      <c r="E26" s="4"/>
      <c r="F26" s="4"/>
      <c r="G26" s="4"/>
      <c r="H26" s="4"/>
    </row>
    <row r="27" customFormat="false" ht="31.5" hidden="false" customHeight="true" outlineLevel="0" collapsed="false">
      <c r="B27" s="20" t="n">
        <v>3</v>
      </c>
      <c r="C27" s="4" t="s">
        <v>74</v>
      </c>
      <c r="D27" s="4"/>
      <c r="E27" s="4"/>
      <c r="F27" s="4"/>
      <c r="G27" s="4"/>
      <c r="H27" s="4"/>
    </row>
    <row r="28" customFormat="false" ht="31.5" hidden="false" customHeight="true" outlineLevel="0" collapsed="false">
      <c r="B28" s="20" t="n">
        <v>4</v>
      </c>
      <c r="C28" s="4" t="s">
        <v>75</v>
      </c>
      <c r="D28" s="4"/>
      <c r="E28" s="4"/>
      <c r="F28" s="4"/>
      <c r="G28" s="4"/>
      <c r="H28" s="4"/>
    </row>
    <row r="29" customFormat="false" ht="31.5" hidden="false" customHeight="true" outlineLevel="0" collapsed="false">
      <c r="B29" s="20" t="n">
        <v>5</v>
      </c>
      <c r="C29" s="4" t="s">
        <v>76</v>
      </c>
      <c r="D29" s="4"/>
      <c r="E29" s="4"/>
      <c r="F29" s="4"/>
      <c r="G29" s="4"/>
      <c r="H29" s="4"/>
    </row>
    <row r="30" customFormat="false" ht="31.5" hidden="false" customHeight="true" outlineLevel="0" collapsed="false">
      <c r="B30" s="20" t="n">
        <v>6</v>
      </c>
      <c r="C30" s="4" t="s">
        <v>77</v>
      </c>
      <c r="D30" s="4"/>
      <c r="E30" s="4"/>
      <c r="F30" s="4"/>
      <c r="G30" s="4"/>
      <c r="H30" s="4"/>
    </row>
  </sheetData>
  <mergeCells count="20">
    <mergeCell ref="A1:H1"/>
    <mergeCell ref="A2:H2"/>
    <mergeCell ref="B5:H5"/>
    <mergeCell ref="B6:H6"/>
    <mergeCell ref="B8:H8"/>
    <mergeCell ref="B9:H9"/>
    <mergeCell ref="B11:H11"/>
    <mergeCell ref="B12:H12"/>
    <mergeCell ref="B14:H14"/>
    <mergeCell ref="B15:H15"/>
    <mergeCell ref="B17:H17"/>
    <mergeCell ref="B18:H18"/>
    <mergeCell ref="B20:H20"/>
    <mergeCell ref="B21:H21"/>
    <mergeCell ref="C25:H25"/>
    <mergeCell ref="C26:H26"/>
    <mergeCell ref="C27:H27"/>
    <mergeCell ref="C28:H28"/>
    <mergeCell ref="C29:H29"/>
    <mergeCell ref="C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AAC"/>
    <pageSetUpPr fitToPage="fals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5"/>
    <col collapsed="false" customWidth="true" hidden="false" outlineLevel="0" max="7" min="7" style="0" width="13"/>
  </cols>
  <sheetData>
    <row r="1" customFormat="false" ht="27.75" hidden="false" customHeight="true" outlineLevel="0" collapsed="false">
      <c r="A1" s="21" t="s">
        <v>78</v>
      </c>
      <c r="B1" s="21"/>
      <c r="C1" s="21"/>
      <c r="D1" s="21"/>
      <c r="E1" s="21"/>
      <c r="F1" s="21"/>
      <c r="G1" s="21"/>
      <c r="H1" s="21"/>
      <c r="I1" s="21"/>
    </row>
    <row r="2" customFormat="false" ht="16.5" hidden="false" customHeight="true" outlineLevel="0" collapsed="false">
      <c r="A2" s="2" t="s">
        <v>79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80</v>
      </c>
    </row>
    <row r="5" customFormat="false" ht="27.75" hidden="false" customHeight="true" outlineLevel="0" collapsed="false">
      <c r="A5" s="22" t="s">
        <v>81</v>
      </c>
      <c r="B5" s="22" t="s">
        <v>82</v>
      </c>
      <c r="C5" s="22" t="s">
        <v>83</v>
      </c>
      <c r="D5" s="22" t="s">
        <v>84</v>
      </c>
      <c r="E5" s="22" t="s">
        <v>85</v>
      </c>
      <c r="F5" s="22" t="s">
        <v>86</v>
      </c>
    </row>
    <row r="6" customFormat="false" ht="15" hidden="false" customHeight="false" outlineLevel="0" collapsed="false">
      <c r="A6" s="7" t="s">
        <v>87</v>
      </c>
      <c r="B6" s="23" t="n">
        <v>18942121</v>
      </c>
      <c r="C6" s="23" t="n">
        <v>5370319</v>
      </c>
      <c r="D6" s="23" t="n">
        <v>1439199</v>
      </c>
      <c r="E6" s="23" t="n">
        <v>1040948</v>
      </c>
      <c r="F6" s="23" t="n">
        <v>3971076</v>
      </c>
    </row>
    <row r="7" customFormat="false" ht="15" hidden="false" customHeight="false" outlineLevel="0" collapsed="false">
      <c r="A7" s="7" t="s">
        <v>88</v>
      </c>
      <c r="B7" s="24" t="n">
        <v>312672.3</v>
      </c>
      <c r="C7" s="24" t="n">
        <v>196788</v>
      </c>
      <c r="D7" s="24" t="n">
        <v>49313.6</v>
      </c>
      <c r="E7" s="24" t="n">
        <v>54421.2</v>
      </c>
      <c r="F7" s="24" t="n">
        <v>44445.7</v>
      </c>
    </row>
    <row r="8" customFormat="false" ht="15" hidden="false" customHeight="false" outlineLevel="0" collapsed="false">
      <c r="A8" s="7" t="s">
        <v>89</v>
      </c>
      <c r="B8" s="25" t="s">
        <v>90</v>
      </c>
      <c r="C8" s="25" t="s">
        <v>91</v>
      </c>
      <c r="D8" s="25" t="s">
        <v>92</v>
      </c>
      <c r="E8" s="25" t="s">
        <v>93</v>
      </c>
      <c r="F8" s="25" t="s">
        <v>94</v>
      </c>
    </row>
    <row r="9" customFormat="false" ht="15" hidden="false" customHeight="false" outlineLevel="0" collapsed="false">
      <c r="A9" s="26" t="s">
        <v>95</v>
      </c>
      <c r="B9" s="27" t="n">
        <v>40785</v>
      </c>
      <c r="C9" s="27" t="n">
        <v>22763</v>
      </c>
      <c r="D9" s="27" t="n">
        <v>5204</v>
      </c>
      <c r="E9" s="27" t="n">
        <v>5777</v>
      </c>
      <c r="F9" s="27" t="n">
        <v>7389</v>
      </c>
    </row>
    <row r="10" customFormat="false" ht="15" hidden="false" customHeight="false" outlineLevel="0" collapsed="false">
      <c r="A10" s="7" t="s">
        <v>96</v>
      </c>
      <c r="B10" s="28" t="n">
        <v>3990.18</v>
      </c>
      <c r="C10" s="28" t="n">
        <v>2655.6</v>
      </c>
      <c r="D10" s="28" t="n">
        <v>873.66</v>
      </c>
      <c r="E10" s="28" t="n">
        <v>869.36</v>
      </c>
      <c r="F10" s="28" t="n">
        <v>259.79</v>
      </c>
    </row>
    <row r="11" customFormat="false" ht="15" hidden="false" customHeight="false" outlineLevel="0" collapsed="false">
      <c r="A11" s="7" t="s">
        <v>97</v>
      </c>
      <c r="B11" s="23" t="n">
        <v>24315351</v>
      </c>
      <c r="C11" s="23" t="n">
        <v>11489392</v>
      </c>
      <c r="D11" s="23" t="n">
        <v>3472762</v>
      </c>
      <c r="E11" s="23" t="n">
        <v>3704360</v>
      </c>
      <c r="F11" s="23" t="n">
        <v>2763984</v>
      </c>
    </row>
    <row r="12" customFormat="false" ht="15" hidden="false" customHeight="false" outlineLevel="0" collapsed="false">
      <c r="A12" s="7" t="s">
        <v>98</v>
      </c>
      <c r="B12" s="25" t="s">
        <v>99</v>
      </c>
      <c r="C12" s="25" t="s">
        <v>100</v>
      </c>
      <c r="D12" s="25" t="s">
        <v>101</v>
      </c>
      <c r="E12" s="25" t="s">
        <v>100</v>
      </c>
      <c r="F12" s="25" t="s">
        <v>102</v>
      </c>
    </row>
    <row r="13" customFormat="false" ht="27.75" hidden="false" customHeight="true" outlineLevel="0" collapsed="false">
      <c r="A13" s="29" t="s">
        <v>103</v>
      </c>
      <c r="B13" s="29"/>
      <c r="C13" s="29"/>
      <c r="D13" s="29"/>
      <c r="E13" s="29"/>
      <c r="F13" s="29"/>
      <c r="G13" s="29"/>
      <c r="H13" s="29"/>
      <c r="I13" s="29"/>
    </row>
    <row r="15" customFormat="false" ht="15" hidden="false" customHeight="false" outlineLevel="0" collapsed="false">
      <c r="A15" s="3" t="s">
        <v>104</v>
      </c>
    </row>
    <row r="16" customFormat="false" ht="27.75" hidden="false" customHeight="true" outlineLevel="0" collapsed="false">
      <c r="A16" s="22" t="s">
        <v>105</v>
      </c>
      <c r="B16" s="22" t="s">
        <v>106</v>
      </c>
      <c r="C16" s="22" t="s">
        <v>107</v>
      </c>
      <c r="D16" s="22" t="s">
        <v>108</v>
      </c>
      <c r="E16" s="22" t="s">
        <v>109</v>
      </c>
    </row>
    <row r="17" customFormat="false" ht="46.25" hidden="false" customHeight="false" outlineLevel="0" collapsed="false">
      <c r="A17" s="30" t="s">
        <v>110</v>
      </c>
      <c r="B17" s="31" t="s">
        <v>111</v>
      </c>
      <c r="C17" s="32" t="n">
        <v>3542111</v>
      </c>
      <c r="D17" s="33" t="n">
        <v>6373.2</v>
      </c>
      <c r="E17" s="32" t="n">
        <v>108</v>
      </c>
    </row>
    <row r="18" customFormat="false" ht="35.05" hidden="false" customHeight="false" outlineLevel="0" collapsed="false">
      <c r="A18" s="34" t="s">
        <v>112</v>
      </c>
      <c r="B18" s="7" t="s">
        <v>113</v>
      </c>
      <c r="C18" s="23" t="n">
        <v>1195341</v>
      </c>
      <c r="D18" s="24" t="n">
        <v>4667.7</v>
      </c>
      <c r="E18" s="23" t="n">
        <v>30</v>
      </c>
    </row>
    <row r="19" customFormat="false" ht="35.05" hidden="false" customHeight="false" outlineLevel="0" collapsed="false">
      <c r="A19" s="34" t="s">
        <v>114</v>
      </c>
      <c r="B19" s="7" t="s">
        <v>115</v>
      </c>
      <c r="C19" s="23" t="n">
        <v>1163402</v>
      </c>
      <c r="D19" s="24" t="n">
        <v>3871.7</v>
      </c>
      <c r="E19" s="23" t="n">
        <v>1276</v>
      </c>
    </row>
    <row r="20" customFormat="false" ht="23.85" hidden="false" customHeight="false" outlineLevel="0" collapsed="false">
      <c r="A20" s="34" t="s">
        <v>116</v>
      </c>
      <c r="B20" s="7" t="s">
        <v>117</v>
      </c>
      <c r="C20" s="23" t="n">
        <v>1078937</v>
      </c>
      <c r="D20" s="24" t="n">
        <v>2513.9</v>
      </c>
      <c r="E20" s="23" t="n">
        <v>1563</v>
      </c>
    </row>
    <row r="21" customFormat="false" ht="35.05" hidden="false" customHeight="false" outlineLevel="0" collapsed="false">
      <c r="A21" s="34" t="s">
        <v>118</v>
      </c>
      <c r="B21" s="7" t="s">
        <v>119</v>
      </c>
      <c r="C21" s="23" t="n">
        <v>836656</v>
      </c>
      <c r="D21" s="24" t="n">
        <v>2102.4</v>
      </c>
      <c r="E21" s="23" t="n">
        <v>1</v>
      </c>
    </row>
    <row r="22" customFormat="false" ht="35.05" hidden="false" customHeight="false" outlineLevel="0" collapsed="false">
      <c r="A22" s="34" t="s">
        <v>120</v>
      </c>
      <c r="B22" s="7" t="s">
        <v>121</v>
      </c>
      <c r="C22" s="23" t="n">
        <v>767136</v>
      </c>
      <c r="D22" s="24" t="n">
        <v>8616.7</v>
      </c>
      <c r="E22" s="23" t="n">
        <v>7</v>
      </c>
    </row>
    <row r="23" customFormat="false" ht="35.05" hidden="false" customHeight="false" outlineLevel="0" collapsed="false">
      <c r="A23" s="34" t="s">
        <v>122</v>
      </c>
      <c r="B23" s="7" t="s">
        <v>123</v>
      </c>
      <c r="C23" s="23" t="n">
        <v>706242</v>
      </c>
      <c r="D23" s="24" t="n">
        <v>4906</v>
      </c>
      <c r="E23" s="23" t="n">
        <v>0</v>
      </c>
    </row>
    <row r="24" customFormat="false" ht="46.25" hidden="false" customHeight="false" outlineLevel="0" collapsed="false">
      <c r="A24" s="34" t="s">
        <v>124</v>
      </c>
      <c r="B24" s="7" t="s">
        <v>125</v>
      </c>
      <c r="C24" s="23" t="n">
        <v>566591</v>
      </c>
      <c r="D24" s="24" t="n">
        <v>7289.7</v>
      </c>
      <c r="E24" s="23" t="n">
        <v>449</v>
      </c>
    </row>
    <row r="25" customFormat="false" ht="35.05" hidden="false" customHeight="false" outlineLevel="0" collapsed="false">
      <c r="A25" s="34" t="s">
        <v>126</v>
      </c>
      <c r="B25" s="7" t="s">
        <v>127</v>
      </c>
      <c r="C25" s="23" t="n">
        <v>565730</v>
      </c>
      <c r="D25" s="24" t="n">
        <v>2766.9</v>
      </c>
      <c r="E25" s="23" t="n">
        <v>16</v>
      </c>
    </row>
    <row r="26" customFormat="false" ht="35.05" hidden="false" customHeight="false" outlineLevel="0" collapsed="false">
      <c r="A26" s="34" t="s">
        <v>128</v>
      </c>
      <c r="B26" s="7" t="s">
        <v>129</v>
      </c>
      <c r="C26" s="23" t="n">
        <v>519128</v>
      </c>
      <c r="D26" s="24" t="n">
        <v>1781.3</v>
      </c>
      <c r="E26" s="23" t="n">
        <v>9</v>
      </c>
    </row>
    <row r="28" customFormat="false" ht="15" hidden="false" customHeight="false" outlineLevel="0" collapsed="false">
      <c r="A28" s="3" t="s">
        <v>130</v>
      </c>
    </row>
    <row r="29" customFormat="false" ht="27.75" hidden="false" customHeight="true" outlineLevel="0" collapsed="false">
      <c r="A29" s="22" t="s">
        <v>105</v>
      </c>
      <c r="B29" s="22" t="s">
        <v>106</v>
      </c>
      <c r="C29" s="22" t="s">
        <v>107</v>
      </c>
      <c r="D29" s="22" t="s">
        <v>108</v>
      </c>
      <c r="E29" s="22" t="s">
        <v>109</v>
      </c>
    </row>
    <row r="30" customFormat="false" ht="35.05" hidden="false" customHeight="false" outlineLevel="0" collapsed="false">
      <c r="A30" s="30" t="s">
        <v>110</v>
      </c>
      <c r="B30" s="31" t="s">
        <v>113</v>
      </c>
      <c r="C30" s="32" t="n">
        <v>631040</v>
      </c>
      <c r="D30" s="33" t="n">
        <v>2839.4</v>
      </c>
      <c r="E30" s="32" t="n">
        <v>1</v>
      </c>
    </row>
    <row r="31" customFormat="false" ht="23.85" hidden="false" customHeight="false" outlineLevel="0" collapsed="false">
      <c r="A31" s="34" t="s">
        <v>112</v>
      </c>
      <c r="B31" s="7" t="s">
        <v>131</v>
      </c>
      <c r="C31" s="23" t="n">
        <v>627610</v>
      </c>
      <c r="D31" s="24" t="n">
        <v>4483</v>
      </c>
      <c r="E31" s="23" t="n">
        <v>1</v>
      </c>
    </row>
    <row r="32" customFormat="false" ht="46.25" hidden="false" customHeight="false" outlineLevel="0" collapsed="false">
      <c r="A32" s="34" t="s">
        <v>114</v>
      </c>
      <c r="B32" s="7" t="s">
        <v>111</v>
      </c>
      <c r="C32" s="23" t="n">
        <v>521246</v>
      </c>
      <c r="D32" s="24" t="n">
        <v>1869.3</v>
      </c>
      <c r="E32" s="23" t="n">
        <v>0</v>
      </c>
    </row>
    <row r="33" customFormat="false" ht="35.05" hidden="false" customHeight="false" outlineLevel="0" collapsed="false">
      <c r="A33" s="34" t="s">
        <v>116</v>
      </c>
      <c r="B33" s="7" t="s">
        <v>127</v>
      </c>
      <c r="C33" s="23" t="n">
        <v>476125</v>
      </c>
      <c r="D33" s="24" t="n">
        <v>2829.9</v>
      </c>
      <c r="E33" s="23" t="n">
        <v>14</v>
      </c>
    </row>
    <row r="34" customFormat="false" ht="35.05" hidden="false" customHeight="false" outlineLevel="0" collapsed="false">
      <c r="A34" s="34" t="s">
        <v>118</v>
      </c>
      <c r="B34" s="7" t="s">
        <v>119</v>
      </c>
      <c r="C34" s="23" t="n">
        <v>311372</v>
      </c>
      <c r="D34" s="24" t="n">
        <v>890.8</v>
      </c>
      <c r="E34" s="23" t="n">
        <v>6</v>
      </c>
    </row>
    <row r="35" customFormat="false" ht="35.05" hidden="false" customHeight="false" outlineLevel="0" collapsed="false">
      <c r="A35" s="34" t="s">
        <v>120</v>
      </c>
      <c r="B35" s="7" t="s">
        <v>129</v>
      </c>
      <c r="C35" s="23" t="n">
        <v>184351</v>
      </c>
      <c r="D35" s="24" t="n">
        <v>605.2</v>
      </c>
      <c r="E35" s="23" t="n">
        <v>3</v>
      </c>
    </row>
    <row r="36" customFormat="false" ht="46.25" hidden="false" customHeight="false" outlineLevel="0" collapsed="false">
      <c r="A36" s="34" t="s">
        <v>122</v>
      </c>
      <c r="B36" s="7" t="s">
        <v>132</v>
      </c>
      <c r="C36" s="23" t="n">
        <v>174026</v>
      </c>
      <c r="D36" s="24" t="n">
        <v>642.3</v>
      </c>
      <c r="E36" s="23" t="n">
        <v>0</v>
      </c>
    </row>
    <row r="37" customFormat="false" ht="35.05" hidden="false" customHeight="false" outlineLevel="0" collapsed="false">
      <c r="A37" s="34" t="s">
        <v>124</v>
      </c>
      <c r="B37" s="7" t="s">
        <v>133</v>
      </c>
      <c r="C37" s="23" t="n">
        <v>112458</v>
      </c>
      <c r="D37" s="24" t="n">
        <v>453.1</v>
      </c>
      <c r="E37" s="23" t="n">
        <v>0</v>
      </c>
    </row>
    <row r="38" customFormat="false" ht="35.05" hidden="false" customHeight="false" outlineLevel="0" collapsed="false">
      <c r="A38" s="34" t="s">
        <v>126</v>
      </c>
      <c r="B38" s="7" t="s">
        <v>134</v>
      </c>
      <c r="C38" s="23" t="n">
        <v>95435</v>
      </c>
      <c r="D38" s="24" t="n">
        <v>272.5</v>
      </c>
      <c r="E38" s="23" t="n">
        <v>84</v>
      </c>
    </row>
    <row r="39" customFormat="false" ht="35.05" hidden="false" customHeight="false" outlineLevel="0" collapsed="false">
      <c r="A39" s="34" t="s">
        <v>128</v>
      </c>
      <c r="B39" s="7" t="s">
        <v>121</v>
      </c>
      <c r="C39" s="23" t="n">
        <v>88519</v>
      </c>
      <c r="D39" s="24" t="n">
        <v>404.7</v>
      </c>
      <c r="E39" s="23" t="n">
        <v>0</v>
      </c>
    </row>
    <row r="41" customFormat="false" ht="15" hidden="false" customHeight="false" outlineLevel="0" collapsed="false">
      <c r="A41" s="3" t="s">
        <v>135</v>
      </c>
    </row>
    <row r="42" customFormat="false" ht="27.75" hidden="false" customHeight="true" outlineLevel="0" collapsed="false">
      <c r="A42" s="22" t="s">
        <v>105</v>
      </c>
      <c r="B42" s="22" t="s">
        <v>106</v>
      </c>
      <c r="C42" s="22" t="s">
        <v>107</v>
      </c>
      <c r="D42" s="22" t="s">
        <v>108</v>
      </c>
      <c r="E42" s="22" t="s">
        <v>109</v>
      </c>
    </row>
    <row r="43" customFormat="false" ht="46.25" hidden="false" customHeight="false" outlineLevel="0" collapsed="false">
      <c r="A43" s="30" t="s">
        <v>110</v>
      </c>
      <c r="B43" s="31" t="s">
        <v>136</v>
      </c>
      <c r="C43" s="32" t="n">
        <v>114850</v>
      </c>
      <c r="D43" s="33" t="n">
        <v>135.7</v>
      </c>
      <c r="E43" s="32" t="n">
        <v>0</v>
      </c>
    </row>
    <row r="44" customFormat="false" ht="23.85" hidden="false" customHeight="false" outlineLevel="0" collapsed="false">
      <c r="A44" s="34" t="s">
        <v>112</v>
      </c>
      <c r="B44" s="7" t="s">
        <v>117</v>
      </c>
      <c r="C44" s="23" t="n">
        <v>113862</v>
      </c>
      <c r="D44" s="24" t="n">
        <v>233.9</v>
      </c>
      <c r="E44" s="23" t="n">
        <v>141</v>
      </c>
    </row>
    <row r="45" customFormat="false" ht="35.05" hidden="false" customHeight="false" outlineLevel="0" collapsed="false">
      <c r="A45" s="34" t="s">
        <v>114</v>
      </c>
      <c r="B45" s="7" t="s">
        <v>137</v>
      </c>
      <c r="C45" s="23" t="n">
        <v>60268</v>
      </c>
      <c r="D45" s="24" t="n">
        <v>3234.1</v>
      </c>
      <c r="E45" s="23" t="n">
        <v>69</v>
      </c>
    </row>
    <row r="46" customFormat="false" ht="35.05" hidden="false" customHeight="false" outlineLevel="0" collapsed="false">
      <c r="A46" s="34" t="s">
        <v>116</v>
      </c>
      <c r="B46" s="7" t="s">
        <v>138</v>
      </c>
      <c r="C46" s="23" t="n">
        <v>59124</v>
      </c>
      <c r="D46" s="24" t="n">
        <v>63</v>
      </c>
      <c r="E46" s="23" t="n">
        <v>0</v>
      </c>
    </row>
    <row r="47" customFormat="false" ht="23.85" hidden="false" customHeight="false" outlineLevel="0" collapsed="false">
      <c r="A47" s="34" t="s">
        <v>118</v>
      </c>
      <c r="B47" s="7" t="s">
        <v>139</v>
      </c>
      <c r="C47" s="23" t="n">
        <v>55752</v>
      </c>
      <c r="D47" s="24" t="n">
        <v>4227.3</v>
      </c>
      <c r="E47" s="23" t="n">
        <v>7</v>
      </c>
    </row>
    <row r="48" customFormat="false" ht="35.05" hidden="false" customHeight="false" outlineLevel="0" collapsed="false">
      <c r="A48" s="34" t="s">
        <v>120</v>
      </c>
      <c r="B48" s="7" t="s">
        <v>140</v>
      </c>
      <c r="C48" s="23" t="n">
        <v>47950</v>
      </c>
      <c r="D48" s="24" t="n">
        <v>62.4</v>
      </c>
      <c r="E48" s="23" t="n">
        <v>0</v>
      </c>
    </row>
    <row r="49" customFormat="false" ht="35.05" hidden="false" customHeight="false" outlineLevel="0" collapsed="false">
      <c r="A49" s="34" t="s">
        <v>122</v>
      </c>
      <c r="B49" s="7" t="s">
        <v>141</v>
      </c>
      <c r="C49" s="23" t="n">
        <v>45766</v>
      </c>
      <c r="D49" s="24" t="n">
        <v>3596</v>
      </c>
      <c r="E49" s="23" t="n">
        <v>659</v>
      </c>
    </row>
    <row r="50" customFormat="false" ht="35.05" hidden="false" customHeight="false" outlineLevel="0" collapsed="false">
      <c r="A50" s="34" t="s">
        <v>124</v>
      </c>
      <c r="B50" s="7" t="s">
        <v>142</v>
      </c>
      <c r="C50" s="23" t="n">
        <v>38697</v>
      </c>
      <c r="D50" s="24" t="n">
        <v>3239.3</v>
      </c>
      <c r="E50" s="23" t="n">
        <v>181</v>
      </c>
    </row>
    <row r="51" customFormat="false" ht="35.05" hidden="false" customHeight="false" outlineLevel="0" collapsed="false">
      <c r="A51" s="34" t="s">
        <v>126</v>
      </c>
      <c r="B51" s="7" t="s">
        <v>143</v>
      </c>
      <c r="C51" s="23" t="n">
        <v>37056</v>
      </c>
      <c r="D51" s="24" t="n">
        <v>39.8</v>
      </c>
      <c r="E51" s="23" t="n">
        <v>1</v>
      </c>
    </row>
    <row r="52" customFormat="false" ht="35.05" hidden="false" customHeight="false" outlineLevel="0" collapsed="false">
      <c r="A52" s="34" t="s">
        <v>128</v>
      </c>
      <c r="B52" s="7" t="s">
        <v>144</v>
      </c>
      <c r="C52" s="23" t="n">
        <v>35946</v>
      </c>
      <c r="D52" s="24" t="n">
        <v>865.8</v>
      </c>
      <c r="E52" s="23" t="n">
        <v>32</v>
      </c>
    </row>
    <row r="54" customFormat="false" ht="27.75" hidden="false" customHeight="true" outlineLevel="0" collapsed="false">
      <c r="A54" s="29" t="s">
        <v>145</v>
      </c>
      <c r="B54" s="29"/>
      <c r="C54" s="29"/>
      <c r="D54" s="29"/>
      <c r="E54" s="29"/>
      <c r="F54" s="29"/>
      <c r="G54" s="29"/>
      <c r="H54" s="29"/>
      <c r="I54" s="29"/>
    </row>
  </sheetData>
  <mergeCells count="4">
    <mergeCell ref="A1:I1"/>
    <mergeCell ref="A2:I2"/>
    <mergeCell ref="A13:I13"/>
    <mergeCell ref="A54:I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4D"/>
    <pageSetUpPr fitToPage="false"/>
  </sheetPr>
  <dimension ref="A1:I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3"/>
  </cols>
  <sheetData>
    <row r="1" customFormat="false" ht="27.75" hidden="false" customHeight="true" outlineLevel="0" collapsed="false">
      <c r="A1" s="21" t="s">
        <v>146</v>
      </c>
      <c r="B1" s="21"/>
      <c r="C1" s="21"/>
      <c r="D1" s="21"/>
      <c r="E1" s="21"/>
      <c r="F1" s="21"/>
      <c r="G1" s="21"/>
      <c r="H1" s="21"/>
      <c r="I1" s="21"/>
    </row>
    <row r="2" customFormat="false" ht="16.5" hidden="false" customHeight="true" outlineLevel="0" collapsed="false">
      <c r="A2" s="2" t="s">
        <v>147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148</v>
      </c>
    </row>
    <row r="5" customFormat="false" ht="27.75" hidden="false" customHeight="true" outlineLevel="0" collapsed="false">
      <c r="A5" s="22" t="s">
        <v>149</v>
      </c>
      <c r="B5" s="22" t="s">
        <v>107</v>
      </c>
      <c r="C5" s="22" t="s">
        <v>150</v>
      </c>
      <c r="D5" s="22" t="s">
        <v>108</v>
      </c>
      <c r="E5" s="22" t="s">
        <v>151</v>
      </c>
      <c r="F5" s="22" t="s">
        <v>152</v>
      </c>
      <c r="G5" s="22" t="s">
        <v>48</v>
      </c>
      <c r="H5" s="22" t="s">
        <v>153</v>
      </c>
    </row>
    <row r="6" customFormat="false" ht="15" hidden="false" customHeight="false" outlineLevel="0" collapsed="false">
      <c r="A6" s="26" t="s">
        <v>154</v>
      </c>
      <c r="B6" s="27" t="n">
        <v>3971076</v>
      </c>
      <c r="C6" s="35" t="s">
        <v>155</v>
      </c>
      <c r="D6" s="36" t="n">
        <v>44445.7</v>
      </c>
      <c r="E6" s="35" t="s">
        <v>155</v>
      </c>
      <c r="F6" s="35" t="s">
        <v>94</v>
      </c>
      <c r="G6" s="27" t="n">
        <v>2763984</v>
      </c>
      <c r="H6" s="35" t="s">
        <v>102</v>
      </c>
    </row>
    <row r="7" customFormat="false" ht="15" hidden="false" customHeight="false" outlineLevel="0" collapsed="false">
      <c r="A7" s="7" t="s">
        <v>156</v>
      </c>
      <c r="B7" s="23" t="n">
        <v>3567121</v>
      </c>
      <c r="C7" s="25" t="s">
        <v>157</v>
      </c>
      <c r="D7" s="24" t="n">
        <v>18353.1</v>
      </c>
      <c r="E7" s="25" t="s">
        <v>158</v>
      </c>
      <c r="F7" s="25" t="s">
        <v>159</v>
      </c>
      <c r="G7" s="23" t="s">
        <v>160</v>
      </c>
      <c r="H7" s="25" t="s">
        <v>160</v>
      </c>
    </row>
    <row r="8" customFormat="false" ht="15" hidden="false" customHeight="false" outlineLevel="0" collapsed="false">
      <c r="A8" s="7" t="s">
        <v>161</v>
      </c>
      <c r="B8" s="23" t="n">
        <v>139953</v>
      </c>
      <c r="C8" s="25" t="s">
        <v>162</v>
      </c>
      <c r="D8" s="24" t="n">
        <v>2885.3</v>
      </c>
      <c r="E8" s="25" t="s">
        <v>163</v>
      </c>
      <c r="F8" s="25" t="s">
        <v>94</v>
      </c>
      <c r="G8" s="23" t="n">
        <v>844172</v>
      </c>
      <c r="H8" s="25" t="s">
        <v>164</v>
      </c>
    </row>
    <row r="9" customFormat="false" ht="15" hidden="false" customHeight="false" outlineLevel="0" collapsed="false">
      <c r="A9" s="7" t="s">
        <v>165</v>
      </c>
      <c r="B9" s="23" t="n">
        <v>106510</v>
      </c>
      <c r="C9" s="25" t="s">
        <v>166</v>
      </c>
      <c r="D9" s="24" t="n">
        <v>7524.4</v>
      </c>
      <c r="E9" s="25" t="s">
        <v>167</v>
      </c>
      <c r="F9" s="25" t="s">
        <v>168</v>
      </c>
      <c r="G9" s="23" t="n">
        <v>1011669</v>
      </c>
      <c r="H9" s="25" t="s">
        <v>169</v>
      </c>
    </row>
    <row r="10" customFormat="false" ht="15" hidden="false" customHeight="false" outlineLevel="0" collapsed="false">
      <c r="A10" s="7" t="s">
        <v>170</v>
      </c>
      <c r="B10" s="23" t="n">
        <v>72007</v>
      </c>
      <c r="C10" s="25" t="s">
        <v>171</v>
      </c>
      <c r="D10" s="24" t="n">
        <v>215.4</v>
      </c>
      <c r="E10" s="25" t="s">
        <v>172</v>
      </c>
      <c r="F10" s="25" t="s">
        <v>173</v>
      </c>
      <c r="G10" s="23" t="s">
        <v>160</v>
      </c>
      <c r="H10" s="25" t="s">
        <v>160</v>
      </c>
    </row>
    <row r="11" customFormat="false" ht="15" hidden="false" customHeight="false" outlineLevel="0" collapsed="false">
      <c r="A11" s="7" t="s">
        <v>174</v>
      </c>
      <c r="B11" s="23" t="n">
        <v>23744</v>
      </c>
      <c r="C11" s="25" t="s">
        <v>175</v>
      </c>
      <c r="D11" s="24" t="n">
        <v>794.1</v>
      </c>
      <c r="E11" s="25" t="s">
        <v>171</v>
      </c>
      <c r="F11" s="25" t="s">
        <v>176</v>
      </c>
      <c r="G11" s="23" t="n">
        <v>562838</v>
      </c>
      <c r="H11" s="25" t="s">
        <v>177</v>
      </c>
    </row>
    <row r="12" customFormat="false" ht="15" hidden="false" customHeight="false" outlineLevel="0" collapsed="false">
      <c r="A12" s="7" t="s">
        <v>178</v>
      </c>
      <c r="B12" s="23" t="n">
        <v>21822</v>
      </c>
      <c r="C12" s="25" t="s">
        <v>175</v>
      </c>
      <c r="D12" s="24" t="n">
        <v>6468.8</v>
      </c>
      <c r="E12" s="25" t="s">
        <v>179</v>
      </c>
      <c r="F12" s="25" t="s">
        <v>180</v>
      </c>
      <c r="G12" s="23" t="s">
        <v>160</v>
      </c>
      <c r="H12" s="25" t="s">
        <v>160</v>
      </c>
    </row>
    <row r="13" customFormat="false" ht="15" hidden="false" customHeight="false" outlineLevel="0" collapsed="false">
      <c r="A13" s="7" t="s">
        <v>181</v>
      </c>
      <c r="B13" s="23" t="n">
        <v>15838</v>
      </c>
      <c r="C13" s="25" t="s">
        <v>182</v>
      </c>
      <c r="D13" s="24" t="n">
        <v>2084.6</v>
      </c>
      <c r="E13" s="25" t="s">
        <v>183</v>
      </c>
      <c r="F13" s="25" t="s">
        <v>184</v>
      </c>
      <c r="G13" s="23" t="n">
        <v>318227</v>
      </c>
      <c r="H13" s="25" t="s">
        <v>185</v>
      </c>
    </row>
    <row r="14" customFormat="false" ht="15" hidden="false" customHeight="false" outlineLevel="0" collapsed="false">
      <c r="A14" s="7" t="s">
        <v>186</v>
      </c>
      <c r="B14" s="23" t="n">
        <v>8763</v>
      </c>
      <c r="C14" s="25" t="s">
        <v>187</v>
      </c>
      <c r="D14" s="24" t="n">
        <v>4486.3</v>
      </c>
      <c r="E14" s="25" t="s">
        <v>188</v>
      </c>
      <c r="F14" s="25" t="s">
        <v>189</v>
      </c>
      <c r="G14" s="23" t="s">
        <v>160</v>
      </c>
      <c r="H14" s="25" t="s">
        <v>160</v>
      </c>
    </row>
    <row r="15" customFormat="false" ht="15" hidden="false" customHeight="false" outlineLevel="0" collapsed="false">
      <c r="A15" s="7" t="s">
        <v>190</v>
      </c>
      <c r="B15" s="23" t="n">
        <v>8549</v>
      </c>
      <c r="C15" s="25" t="s">
        <v>187</v>
      </c>
      <c r="D15" s="24" t="n">
        <v>214.9</v>
      </c>
      <c r="E15" s="25" t="s">
        <v>172</v>
      </c>
      <c r="F15" s="25" t="s">
        <v>191</v>
      </c>
      <c r="G15" s="23" t="s">
        <v>160</v>
      </c>
      <c r="H15" s="25" t="s">
        <v>160</v>
      </c>
    </row>
    <row r="17" customFormat="false" ht="15" hidden="false" customHeight="false" outlineLevel="0" collapsed="false">
      <c r="A17" s="3" t="s">
        <v>192</v>
      </c>
    </row>
    <row r="18" customFormat="false" ht="27.75" hidden="false" customHeight="true" outlineLevel="0" collapsed="false">
      <c r="A18" s="22" t="s">
        <v>149</v>
      </c>
      <c r="B18" s="22" t="s">
        <v>107</v>
      </c>
      <c r="C18" s="22" t="s">
        <v>150</v>
      </c>
      <c r="D18" s="22" t="s">
        <v>108</v>
      </c>
      <c r="E18" s="22" t="s">
        <v>151</v>
      </c>
      <c r="F18" s="22" t="s">
        <v>152</v>
      </c>
      <c r="G18" s="22" t="s">
        <v>48</v>
      </c>
      <c r="H18" s="22" t="s">
        <v>153</v>
      </c>
    </row>
    <row r="19" customFormat="false" ht="15" hidden="false" customHeight="false" outlineLevel="0" collapsed="false">
      <c r="A19" s="26" t="s">
        <v>154</v>
      </c>
      <c r="B19" s="27" t="n">
        <v>18942121</v>
      </c>
      <c r="C19" s="35" t="s">
        <v>155</v>
      </c>
      <c r="D19" s="36" t="n">
        <v>312672.3</v>
      </c>
      <c r="E19" s="35" t="s">
        <v>155</v>
      </c>
      <c r="F19" s="35" t="s">
        <v>90</v>
      </c>
      <c r="G19" s="27" t="n">
        <v>24315351</v>
      </c>
      <c r="H19" s="35" t="s">
        <v>99</v>
      </c>
    </row>
    <row r="20" customFormat="false" ht="15" hidden="false" customHeight="false" outlineLevel="0" collapsed="false">
      <c r="A20" s="7" t="s">
        <v>156</v>
      </c>
      <c r="B20" s="23" t="n">
        <v>13423221</v>
      </c>
      <c r="C20" s="25" t="s">
        <v>193</v>
      </c>
      <c r="D20" s="24" t="n">
        <v>93826.3</v>
      </c>
      <c r="E20" s="25" t="s">
        <v>194</v>
      </c>
      <c r="F20" s="25" t="s">
        <v>195</v>
      </c>
      <c r="G20" s="23" t="s">
        <v>160</v>
      </c>
      <c r="H20" s="25" t="s">
        <v>160</v>
      </c>
    </row>
    <row r="21" customFormat="false" ht="15" hidden="false" customHeight="false" outlineLevel="0" collapsed="false">
      <c r="A21" s="7" t="s">
        <v>170</v>
      </c>
      <c r="B21" s="23" t="n">
        <v>1970193</v>
      </c>
      <c r="C21" s="25" t="s">
        <v>196</v>
      </c>
      <c r="D21" s="24" t="n">
        <v>6470.2</v>
      </c>
      <c r="E21" s="25" t="s">
        <v>197</v>
      </c>
      <c r="F21" s="25" t="s">
        <v>198</v>
      </c>
      <c r="G21" s="23" t="s">
        <v>160</v>
      </c>
      <c r="H21" s="25" t="s">
        <v>160</v>
      </c>
    </row>
    <row r="22" customFormat="false" ht="15" hidden="false" customHeight="false" outlineLevel="0" collapsed="false">
      <c r="A22" s="7" t="s">
        <v>165</v>
      </c>
      <c r="B22" s="23" t="n">
        <v>1347492</v>
      </c>
      <c r="C22" s="25" t="s">
        <v>199</v>
      </c>
      <c r="D22" s="24" t="n">
        <v>71892.8</v>
      </c>
      <c r="E22" s="25" t="s">
        <v>200</v>
      </c>
      <c r="F22" s="25" t="s">
        <v>201</v>
      </c>
      <c r="G22" s="23" t="n">
        <v>9750047</v>
      </c>
      <c r="H22" s="25" t="s">
        <v>202</v>
      </c>
    </row>
    <row r="23" customFormat="false" ht="15" hidden="false" customHeight="false" outlineLevel="0" collapsed="false">
      <c r="A23" s="7" t="s">
        <v>161</v>
      </c>
      <c r="B23" s="23" t="n">
        <v>1286997</v>
      </c>
      <c r="C23" s="25" t="s">
        <v>203</v>
      </c>
      <c r="D23" s="24" t="n">
        <v>23467</v>
      </c>
      <c r="E23" s="25" t="s">
        <v>202</v>
      </c>
      <c r="F23" s="25" t="s">
        <v>204</v>
      </c>
      <c r="G23" s="23" t="n">
        <v>7308065</v>
      </c>
      <c r="H23" s="25" t="s">
        <v>164</v>
      </c>
    </row>
    <row r="24" customFormat="false" ht="15" hidden="false" customHeight="false" outlineLevel="0" collapsed="false">
      <c r="A24" s="7" t="s">
        <v>181</v>
      </c>
      <c r="B24" s="23" t="n">
        <v>385839</v>
      </c>
      <c r="C24" s="25" t="s">
        <v>205</v>
      </c>
      <c r="D24" s="24" t="n">
        <v>72898.5</v>
      </c>
      <c r="E24" s="25" t="s">
        <v>206</v>
      </c>
      <c r="F24" s="25" t="s">
        <v>207</v>
      </c>
      <c r="G24" s="23" t="n">
        <v>5006631</v>
      </c>
      <c r="H24" s="25" t="s">
        <v>208</v>
      </c>
    </row>
    <row r="25" customFormat="false" ht="15" hidden="false" customHeight="false" outlineLevel="0" collapsed="false">
      <c r="A25" s="7" t="s">
        <v>174</v>
      </c>
      <c r="B25" s="23" t="n">
        <v>207945</v>
      </c>
      <c r="C25" s="25" t="s">
        <v>209</v>
      </c>
      <c r="D25" s="24" t="n">
        <v>8631.7</v>
      </c>
      <c r="E25" s="25" t="s">
        <v>185</v>
      </c>
      <c r="F25" s="25" t="s">
        <v>210</v>
      </c>
      <c r="G25" s="23" t="n">
        <v>2015037</v>
      </c>
      <c r="H25" s="25" t="s">
        <v>211</v>
      </c>
    </row>
    <row r="26" customFormat="false" ht="15" hidden="false" customHeight="false" outlineLevel="0" collapsed="false">
      <c r="A26" s="7" t="s">
        <v>178</v>
      </c>
      <c r="B26" s="23" t="n">
        <v>124802</v>
      </c>
      <c r="C26" s="25" t="s">
        <v>212</v>
      </c>
      <c r="D26" s="24" t="n">
        <v>14980.3</v>
      </c>
      <c r="E26" s="25" t="s">
        <v>213</v>
      </c>
      <c r="F26" s="25" t="s">
        <v>214</v>
      </c>
      <c r="G26" s="23" t="s">
        <v>160</v>
      </c>
      <c r="H26" s="25" t="s">
        <v>160</v>
      </c>
    </row>
    <row r="27" customFormat="false" ht="15" hidden="false" customHeight="false" outlineLevel="0" collapsed="false">
      <c r="A27" s="7" t="s">
        <v>186</v>
      </c>
      <c r="B27" s="23" t="n">
        <v>72667</v>
      </c>
      <c r="C27" s="25" t="s">
        <v>182</v>
      </c>
      <c r="D27" s="24" t="n">
        <v>10587.4</v>
      </c>
      <c r="E27" s="25" t="s">
        <v>208</v>
      </c>
      <c r="F27" s="25" t="s">
        <v>215</v>
      </c>
      <c r="G27" s="23" t="s">
        <v>160</v>
      </c>
      <c r="H27" s="25" t="s">
        <v>160</v>
      </c>
    </row>
    <row r="28" customFormat="false" ht="15" hidden="false" customHeight="false" outlineLevel="0" collapsed="false">
      <c r="A28" s="7" t="s">
        <v>216</v>
      </c>
      <c r="B28" s="23" t="n">
        <v>47255</v>
      </c>
      <c r="C28" s="25" t="s">
        <v>217</v>
      </c>
      <c r="D28" s="24" t="n">
        <v>6450.2</v>
      </c>
      <c r="E28" s="25" t="s">
        <v>197</v>
      </c>
      <c r="F28" s="25" t="s">
        <v>218</v>
      </c>
      <c r="G28" s="23" t="s">
        <v>160</v>
      </c>
      <c r="H28" s="25" t="s">
        <v>160</v>
      </c>
    </row>
    <row r="30" customFormat="false" ht="15" hidden="false" customHeight="false" outlineLevel="0" collapsed="false">
      <c r="A30" s="3" t="s">
        <v>219</v>
      </c>
    </row>
    <row r="31" customFormat="false" ht="27.75" hidden="false" customHeight="true" outlineLevel="0" collapsed="false">
      <c r="A31" s="22" t="s">
        <v>149</v>
      </c>
      <c r="B31" s="22" t="s">
        <v>107</v>
      </c>
      <c r="C31" s="22" t="s">
        <v>150</v>
      </c>
      <c r="D31" s="22" t="s">
        <v>108</v>
      </c>
      <c r="E31" s="22" t="s">
        <v>151</v>
      </c>
      <c r="F31" s="22" t="s">
        <v>152</v>
      </c>
      <c r="G31" s="22" t="s">
        <v>48</v>
      </c>
      <c r="H31" s="22" t="s">
        <v>153</v>
      </c>
    </row>
    <row r="32" customFormat="false" ht="15" hidden="false" customHeight="false" outlineLevel="0" collapsed="false">
      <c r="A32" s="26" t="s">
        <v>154</v>
      </c>
      <c r="B32" s="27" t="n">
        <v>5370319</v>
      </c>
      <c r="C32" s="35" t="s">
        <v>155</v>
      </c>
      <c r="D32" s="36" t="n">
        <v>196788</v>
      </c>
      <c r="E32" s="35" t="s">
        <v>155</v>
      </c>
      <c r="F32" s="35" t="s">
        <v>91</v>
      </c>
      <c r="G32" s="27" t="n">
        <v>11489392</v>
      </c>
      <c r="H32" s="35" t="s">
        <v>100</v>
      </c>
    </row>
    <row r="33" customFormat="false" ht="15" hidden="false" customHeight="false" outlineLevel="0" collapsed="false">
      <c r="A33" s="7" t="s">
        <v>156</v>
      </c>
      <c r="B33" s="23" t="n">
        <v>3632638</v>
      </c>
      <c r="C33" s="25" t="s">
        <v>220</v>
      </c>
      <c r="D33" s="24" t="n">
        <v>44576.1</v>
      </c>
      <c r="E33" s="25" t="s">
        <v>221</v>
      </c>
      <c r="F33" s="25" t="s">
        <v>222</v>
      </c>
      <c r="G33" s="23" t="s">
        <v>160</v>
      </c>
      <c r="H33" s="25" t="s">
        <v>160</v>
      </c>
    </row>
    <row r="34" customFormat="false" ht="15" hidden="false" customHeight="false" outlineLevel="0" collapsed="false">
      <c r="A34" s="7" t="s">
        <v>165</v>
      </c>
      <c r="B34" s="23" t="n">
        <v>560835</v>
      </c>
      <c r="C34" s="25" t="s">
        <v>196</v>
      </c>
      <c r="D34" s="24" t="n">
        <v>49938.2</v>
      </c>
      <c r="E34" s="25" t="s">
        <v>223</v>
      </c>
      <c r="F34" s="25" t="s">
        <v>224</v>
      </c>
      <c r="G34" s="23" t="n">
        <v>4413351</v>
      </c>
      <c r="H34" s="25" t="s">
        <v>225</v>
      </c>
    </row>
    <row r="35" customFormat="false" ht="15" hidden="false" customHeight="false" outlineLevel="0" collapsed="false">
      <c r="A35" s="7" t="s">
        <v>161</v>
      </c>
      <c r="B35" s="23" t="n">
        <v>505171</v>
      </c>
      <c r="C35" s="25" t="s">
        <v>226</v>
      </c>
      <c r="D35" s="24" t="n">
        <v>11808.3</v>
      </c>
      <c r="E35" s="25" t="s">
        <v>164</v>
      </c>
      <c r="F35" s="25" t="s">
        <v>227</v>
      </c>
      <c r="G35" s="23" t="n">
        <v>2812778</v>
      </c>
      <c r="H35" s="25" t="s">
        <v>225</v>
      </c>
    </row>
    <row r="36" customFormat="false" ht="15" hidden="false" customHeight="false" outlineLevel="0" collapsed="false">
      <c r="A36" s="7" t="s">
        <v>181</v>
      </c>
      <c r="B36" s="23" t="n">
        <v>257436</v>
      </c>
      <c r="C36" s="25" t="s">
        <v>213</v>
      </c>
      <c r="D36" s="24" t="n">
        <v>55043.9</v>
      </c>
      <c r="E36" s="25" t="s">
        <v>228</v>
      </c>
      <c r="F36" s="25" t="s">
        <v>229</v>
      </c>
      <c r="G36" s="23" t="n">
        <v>3070629</v>
      </c>
      <c r="H36" s="25" t="s">
        <v>230</v>
      </c>
    </row>
    <row r="37" customFormat="false" ht="15" hidden="false" customHeight="false" outlineLevel="0" collapsed="false">
      <c r="A37" s="7" t="s">
        <v>170</v>
      </c>
      <c r="B37" s="23" t="n">
        <v>146440</v>
      </c>
      <c r="C37" s="25" t="s">
        <v>166</v>
      </c>
      <c r="D37" s="24" t="n">
        <v>536.4</v>
      </c>
      <c r="E37" s="25" t="s">
        <v>217</v>
      </c>
      <c r="F37" s="25" t="s">
        <v>231</v>
      </c>
      <c r="G37" s="23" t="s">
        <v>160</v>
      </c>
      <c r="H37" s="25" t="s">
        <v>160</v>
      </c>
    </row>
    <row r="38" customFormat="false" ht="15" hidden="false" customHeight="false" outlineLevel="0" collapsed="false">
      <c r="A38" s="7" t="s">
        <v>174</v>
      </c>
      <c r="B38" s="23" t="n">
        <v>87048</v>
      </c>
      <c r="C38" s="25" t="s">
        <v>232</v>
      </c>
      <c r="D38" s="24" t="n">
        <v>6196.8</v>
      </c>
      <c r="E38" s="25" t="s">
        <v>233</v>
      </c>
      <c r="F38" s="25" t="s">
        <v>234</v>
      </c>
      <c r="G38" s="23" t="n">
        <v>1053409</v>
      </c>
      <c r="H38" s="25" t="s">
        <v>235</v>
      </c>
    </row>
    <row r="39" customFormat="false" ht="15" hidden="false" customHeight="false" outlineLevel="0" collapsed="false">
      <c r="A39" s="7" t="s">
        <v>178</v>
      </c>
      <c r="B39" s="23" t="n">
        <v>65121</v>
      </c>
      <c r="C39" s="25" t="s">
        <v>236</v>
      </c>
      <c r="D39" s="24" t="n">
        <v>12126.7</v>
      </c>
      <c r="E39" s="25" t="s">
        <v>237</v>
      </c>
      <c r="F39" s="25" t="s">
        <v>238</v>
      </c>
      <c r="G39" s="23" t="s">
        <v>160</v>
      </c>
      <c r="H39" s="25" t="s">
        <v>160</v>
      </c>
    </row>
    <row r="40" customFormat="false" ht="15" hidden="false" customHeight="false" outlineLevel="0" collapsed="false">
      <c r="A40" s="7" t="s">
        <v>186</v>
      </c>
      <c r="B40" s="23" t="n">
        <v>55609</v>
      </c>
      <c r="C40" s="25" t="s">
        <v>239</v>
      </c>
      <c r="D40" s="24" t="n">
        <v>9209</v>
      </c>
      <c r="E40" s="25" t="s">
        <v>183</v>
      </c>
      <c r="F40" s="25" t="s">
        <v>240</v>
      </c>
      <c r="G40" s="23" t="s">
        <v>160</v>
      </c>
      <c r="H40" s="25" t="s">
        <v>160</v>
      </c>
    </row>
    <row r="41" customFormat="false" ht="15" hidden="false" customHeight="false" outlineLevel="0" collapsed="false">
      <c r="A41" s="7" t="s">
        <v>216</v>
      </c>
      <c r="B41" s="23" t="n">
        <v>24765</v>
      </c>
      <c r="C41" s="25" t="s">
        <v>172</v>
      </c>
      <c r="D41" s="24" t="n">
        <v>4990.9</v>
      </c>
      <c r="E41" s="25" t="s">
        <v>241</v>
      </c>
      <c r="F41" s="25" t="s">
        <v>242</v>
      </c>
      <c r="G41" s="23" t="s">
        <v>160</v>
      </c>
      <c r="H41" s="25" t="s">
        <v>160</v>
      </c>
    </row>
    <row r="43" customFormat="false" ht="15" hidden="false" customHeight="false" outlineLevel="0" collapsed="false">
      <c r="A43" s="3" t="s">
        <v>243</v>
      </c>
    </row>
    <row r="44" customFormat="false" ht="27.75" hidden="false" customHeight="true" outlineLevel="0" collapsed="false">
      <c r="A44" s="22" t="s">
        <v>149</v>
      </c>
      <c r="B44" s="22" t="s">
        <v>107</v>
      </c>
      <c r="C44" s="22" t="s">
        <v>150</v>
      </c>
      <c r="D44" s="22" t="s">
        <v>108</v>
      </c>
      <c r="E44" s="22" t="s">
        <v>151</v>
      </c>
      <c r="F44" s="22" t="s">
        <v>152</v>
      </c>
      <c r="G44" s="22" t="s">
        <v>48</v>
      </c>
      <c r="H44" s="22" t="s">
        <v>153</v>
      </c>
    </row>
    <row r="45" customFormat="false" ht="15" hidden="false" customHeight="false" outlineLevel="0" collapsed="false">
      <c r="A45" s="26" t="s">
        <v>154</v>
      </c>
      <c r="B45" s="27" t="n">
        <v>1439199</v>
      </c>
      <c r="C45" s="35" t="s">
        <v>155</v>
      </c>
      <c r="D45" s="36" t="n">
        <v>49313.6</v>
      </c>
      <c r="E45" s="35" t="s">
        <v>155</v>
      </c>
      <c r="F45" s="35" t="s">
        <v>92</v>
      </c>
      <c r="G45" s="27" t="n">
        <v>3472762</v>
      </c>
      <c r="H45" s="35" t="s">
        <v>101</v>
      </c>
    </row>
    <row r="46" customFormat="false" ht="15" hidden="false" customHeight="false" outlineLevel="0" collapsed="false">
      <c r="A46" s="7" t="s">
        <v>156</v>
      </c>
      <c r="B46" s="23" t="n">
        <v>793495</v>
      </c>
      <c r="C46" s="25" t="s">
        <v>244</v>
      </c>
      <c r="D46" s="24" t="n">
        <v>9978.5</v>
      </c>
      <c r="E46" s="25" t="s">
        <v>245</v>
      </c>
      <c r="F46" s="25" t="s">
        <v>246</v>
      </c>
      <c r="G46" s="23" t="s">
        <v>160</v>
      </c>
      <c r="H46" s="25" t="s">
        <v>160</v>
      </c>
    </row>
    <row r="47" customFormat="false" ht="15" hidden="false" customHeight="false" outlineLevel="0" collapsed="false">
      <c r="A47" s="7" t="s">
        <v>165</v>
      </c>
      <c r="B47" s="23" t="n">
        <v>244385</v>
      </c>
      <c r="C47" s="25" t="s">
        <v>247</v>
      </c>
      <c r="D47" s="24" t="n">
        <v>12647.3</v>
      </c>
      <c r="E47" s="25" t="s">
        <v>248</v>
      </c>
      <c r="F47" s="25" t="s">
        <v>249</v>
      </c>
      <c r="G47" s="23" t="n">
        <v>1326438</v>
      </c>
      <c r="H47" s="25" t="s">
        <v>250</v>
      </c>
    </row>
    <row r="48" customFormat="false" ht="15" hidden="false" customHeight="false" outlineLevel="0" collapsed="false">
      <c r="A48" s="7" t="s">
        <v>161</v>
      </c>
      <c r="B48" s="23" t="n">
        <v>185659</v>
      </c>
      <c r="C48" s="25" t="s">
        <v>251</v>
      </c>
      <c r="D48" s="24" t="n">
        <v>3059.4</v>
      </c>
      <c r="E48" s="25" t="s">
        <v>237</v>
      </c>
      <c r="F48" s="25" t="s">
        <v>252</v>
      </c>
      <c r="G48" s="23" t="n">
        <v>838020</v>
      </c>
      <c r="H48" s="25" t="s">
        <v>169</v>
      </c>
    </row>
    <row r="49" customFormat="false" ht="15" hidden="false" customHeight="false" outlineLevel="0" collapsed="false">
      <c r="A49" s="7" t="s">
        <v>181</v>
      </c>
      <c r="B49" s="23" t="n">
        <v>83318</v>
      </c>
      <c r="C49" s="25" t="s">
        <v>99</v>
      </c>
      <c r="D49" s="24" t="n">
        <v>17997.6</v>
      </c>
      <c r="E49" s="25" t="s">
        <v>253</v>
      </c>
      <c r="F49" s="25" t="s">
        <v>254</v>
      </c>
      <c r="G49" s="23" t="n">
        <v>924308</v>
      </c>
      <c r="H49" s="25" t="s">
        <v>255</v>
      </c>
    </row>
    <row r="50" customFormat="false" ht="15" hidden="false" customHeight="false" outlineLevel="0" collapsed="false">
      <c r="A50" s="7" t="s">
        <v>170</v>
      </c>
      <c r="B50" s="23" t="n">
        <v>45251</v>
      </c>
      <c r="C50" s="25" t="s">
        <v>211</v>
      </c>
      <c r="D50" s="24" t="n">
        <v>155.9</v>
      </c>
      <c r="E50" s="25" t="s">
        <v>217</v>
      </c>
      <c r="F50" s="25" t="s">
        <v>256</v>
      </c>
      <c r="G50" s="23" t="s">
        <v>160</v>
      </c>
      <c r="H50" s="25" t="s">
        <v>160</v>
      </c>
    </row>
    <row r="51" customFormat="false" ht="15" hidden="false" customHeight="false" outlineLevel="0" collapsed="false">
      <c r="A51" s="7" t="s">
        <v>174</v>
      </c>
      <c r="B51" s="23" t="n">
        <v>33780</v>
      </c>
      <c r="C51" s="25" t="s">
        <v>257</v>
      </c>
      <c r="D51" s="24" t="n">
        <v>1820.7</v>
      </c>
      <c r="E51" s="25" t="s">
        <v>255</v>
      </c>
      <c r="F51" s="25" t="s">
        <v>258</v>
      </c>
      <c r="G51" s="23" t="n">
        <v>342397</v>
      </c>
      <c r="H51" s="25" t="s">
        <v>233</v>
      </c>
    </row>
    <row r="52" customFormat="false" ht="15" hidden="false" customHeight="false" outlineLevel="0" collapsed="false">
      <c r="A52" s="7" t="s">
        <v>186</v>
      </c>
      <c r="B52" s="23" t="n">
        <v>27096</v>
      </c>
      <c r="C52" s="25" t="s">
        <v>259</v>
      </c>
      <c r="D52" s="24" t="n">
        <v>1291.6</v>
      </c>
      <c r="E52" s="25" t="s">
        <v>260</v>
      </c>
      <c r="F52" s="25" t="s">
        <v>261</v>
      </c>
      <c r="G52" s="23" t="s">
        <v>160</v>
      </c>
      <c r="H52" s="25" t="s">
        <v>160</v>
      </c>
    </row>
    <row r="53" customFormat="false" ht="15" hidden="false" customHeight="false" outlineLevel="0" collapsed="false">
      <c r="A53" s="7" t="s">
        <v>178</v>
      </c>
      <c r="B53" s="23" t="n">
        <v>10160</v>
      </c>
      <c r="C53" s="25" t="s">
        <v>212</v>
      </c>
      <c r="D53" s="24" t="n">
        <v>509.5</v>
      </c>
      <c r="E53" s="25" t="s">
        <v>239</v>
      </c>
      <c r="F53" s="25" t="s">
        <v>262</v>
      </c>
      <c r="G53" s="23" t="s">
        <v>160</v>
      </c>
      <c r="H53" s="25" t="s">
        <v>160</v>
      </c>
    </row>
    <row r="54" customFormat="false" ht="15" hidden="false" customHeight="false" outlineLevel="0" collapsed="false">
      <c r="A54" s="7" t="s">
        <v>216</v>
      </c>
      <c r="B54" s="23" t="n">
        <v>7064</v>
      </c>
      <c r="C54" s="25" t="s">
        <v>172</v>
      </c>
      <c r="D54" s="24" t="n">
        <v>1028.7</v>
      </c>
      <c r="E54" s="25" t="s">
        <v>197</v>
      </c>
      <c r="F54" s="25" t="s">
        <v>263</v>
      </c>
      <c r="G54" s="23" t="s">
        <v>160</v>
      </c>
      <c r="H54" s="25" t="s">
        <v>160</v>
      </c>
    </row>
    <row r="56" customFormat="false" ht="15" hidden="false" customHeight="false" outlineLevel="0" collapsed="false">
      <c r="A56" s="3" t="s">
        <v>264</v>
      </c>
    </row>
    <row r="57" customFormat="false" ht="27.75" hidden="false" customHeight="true" outlineLevel="0" collapsed="false">
      <c r="A57" s="22" t="s">
        <v>149</v>
      </c>
      <c r="B57" s="22" t="s">
        <v>107</v>
      </c>
      <c r="C57" s="22" t="s">
        <v>150</v>
      </c>
      <c r="D57" s="22" t="s">
        <v>108</v>
      </c>
      <c r="E57" s="22" t="s">
        <v>151</v>
      </c>
      <c r="F57" s="22" t="s">
        <v>152</v>
      </c>
      <c r="G57" s="22" t="s">
        <v>48</v>
      </c>
      <c r="H57" s="22" t="s">
        <v>153</v>
      </c>
    </row>
    <row r="58" customFormat="false" ht="15" hidden="false" customHeight="false" outlineLevel="0" collapsed="false">
      <c r="A58" s="26" t="s">
        <v>154</v>
      </c>
      <c r="B58" s="27" t="n">
        <v>1040948</v>
      </c>
      <c r="C58" s="35" t="s">
        <v>155</v>
      </c>
      <c r="D58" s="36" t="n">
        <v>54421.2</v>
      </c>
      <c r="E58" s="35" t="s">
        <v>155</v>
      </c>
      <c r="F58" s="35" t="s">
        <v>93</v>
      </c>
      <c r="G58" s="27" t="n">
        <v>3704360</v>
      </c>
      <c r="H58" s="35" t="s">
        <v>100</v>
      </c>
    </row>
    <row r="59" customFormat="false" ht="15" hidden="false" customHeight="false" outlineLevel="0" collapsed="false">
      <c r="A59" s="7" t="s">
        <v>156</v>
      </c>
      <c r="B59" s="23" t="n">
        <v>543304</v>
      </c>
      <c r="C59" s="25" t="s">
        <v>265</v>
      </c>
      <c r="D59" s="24" t="n">
        <v>13544.7</v>
      </c>
      <c r="E59" s="25" t="s">
        <v>266</v>
      </c>
      <c r="F59" s="25" t="s">
        <v>94</v>
      </c>
      <c r="G59" s="23" t="s">
        <v>160</v>
      </c>
      <c r="H59" s="25" t="s">
        <v>160</v>
      </c>
    </row>
    <row r="60" customFormat="false" ht="15" hidden="false" customHeight="false" outlineLevel="0" collapsed="false">
      <c r="A60" s="7" t="s">
        <v>161</v>
      </c>
      <c r="B60" s="23" t="n">
        <v>153322</v>
      </c>
      <c r="C60" s="25" t="s">
        <v>267</v>
      </c>
      <c r="D60" s="24" t="n">
        <v>3275.9</v>
      </c>
      <c r="E60" s="25" t="s">
        <v>164</v>
      </c>
      <c r="F60" s="25" t="s">
        <v>222</v>
      </c>
      <c r="G60" s="23" t="n">
        <v>934096</v>
      </c>
      <c r="H60" s="25" t="s">
        <v>163</v>
      </c>
    </row>
    <row r="61" customFormat="false" ht="15" hidden="false" customHeight="false" outlineLevel="0" collapsed="false">
      <c r="A61" s="7" t="s">
        <v>165</v>
      </c>
      <c r="B61" s="23" t="n">
        <v>150924</v>
      </c>
      <c r="C61" s="25" t="s">
        <v>268</v>
      </c>
      <c r="D61" s="24" t="n">
        <v>15260.6</v>
      </c>
      <c r="E61" s="25" t="s">
        <v>228</v>
      </c>
      <c r="F61" s="25" t="s">
        <v>269</v>
      </c>
      <c r="G61" s="23" t="n">
        <v>1447451</v>
      </c>
      <c r="H61" s="25" t="s">
        <v>250</v>
      </c>
    </row>
    <row r="62" customFormat="false" ht="15" hidden="false" customHeight="false" outlineLevel="0" collapsed="false">
      <c r="A62" s="7" t="s">
        <v>181</v>
      </c>
      <c r="B62" s="23" t="n">
        <v>80363</v>
      </c>
      <c r="C62" s="25" t="s">
        <v>270</v>
      </c>
      <c r="D62" s="24" t="n">
        <v>17454.3</v>
      </c>
      <c r="E62" s="25" t="s">
        <v>271</v>
      </c>
      <c r="F62" s="25" t="s">
        <v>272</v>
      </c>
      <c r="G62" s="23" t="n">
        <v>976524</v>
      </c>
      <c r="H62" s="25" t="s">
        <v>273</v>
      </c>
    </row>
    <row r="63" customFormat="false" ht="15" hidden="false" customHeight="false" outlineLevel="0" collapsed="false">
      <c r="A63" s="7" t="s">
        <v>170</v>
      </c>
      <c r="B63" s="23" t="n">
        <v>50106</v>
      </c>
      <c r="C63" s="25" t="s">
        <v>213</v>
      </c>
      <c r="D63" s="24" t="n">
        <v>172.3</v>
      </c>
      <c r="E63" s="25" t="s">
        <v>217</v>
      </c>
      <c r="F63" s="25" t="s">
        <v>274</v>
      </c>
      <c r="G63" s="23" t="s">
        <v>160</v>
      </c>
      <c r="H63" s="25" t="s">
        <v>160</v>
      </c>
    </row>
    <row r="64" customFormat="false" ht="15" hidden="false" customHeight="false" outlineLevel="0" collapsed="false">
      <c r="A64" s="7" t="s">
        <v>174</v>
      </c>
      <c r="B64" s="23" t="n">
        <v>23061</v>
      </c>
      <c r="C64" s="25" t="s">
        <v>177</v>
      </c>
      <c r="D64" s="24" t="n">
        <v>1570.9</v>
      </c>
      <c r="E64" s="25" t="s">
        <v>275</v>
      </c>
      <c r="F64" s="25" t="s">
        <v>276</v>
      </c>
      <c r="G64" s="23" t="n">
        <v>299615</v>
      </c>
      <c r="H64" s="25" t="s">
        <v>235</v>
      </c>
    </row>
    <row r="65" customFormat="false" ht="15" hidden="false" customHeight="false" outlineLevel="0" collapsed="false">
      <c r="A65" s="7" t="s">
        <v>178</v>
      </c>
      <c r="B65" s="23" t="n">
        <v>12319</v>
      </c>
      <c r="C65" s="25" t="s">
        <v>236</v>
      </c>
      <c r="D65" s="24" t="n">
        <v>610.6</v>
      </c>
      <c r="E65" s="25" t="s">
        <v>209</v>
      </c>
      <c r="F65" s="25" t="s">
        <v>277</v>
      </c>
      <c r="G65" s="23" t="s">
        <v>160</v>
      </c>
      <c r="H65" s="25" t="s">
        <v>160</v>
      </c>
    </row>
    <row r="66" customFormat="false" ht="15" hidden="false" customHeight="false" outlineLevel="0" collapsed="false">
      <c r="A66" s="7" t="s">
        <v>186</v>
      </c>
      <c r="B66" s="23" t="n">
        <v>9442</v>
      </c>
      <c r="C66" s="25" t="s">
        <v>278</v>
      </c>
      <c r="D66" s="24" t="n">
        <v>986.3</v>
      </c>
      <c r="E66" s="25" t="s">
        <v>171</v>
      </c>
      <c r="F66" s="25" t="s">
        <v>279</v>
      </c>
      <c r="G66" s="23" t="s">
        <v>160</v>
      </c>
      <c r="H66" s="25" t="s">
        <v>160</v>
      </c>
    </row>
    <row r="67" customFormat="false" ht="15" hidden="false" customHeight="false" outlineLevel="0" collapsed="false">
      <c r="A67" s="7" t="s">
        <v>190</v>
      </c>
      <c r="B67" s="23" t="n">
        <v>7827</v>
      </c>
      <c r="C67" s="25" t="s">
        <v>280</v>
      </c>
      <c r="D67" s="24" t="n">
        <v>136.1</v>
      </c>
      <c r="E67" s="25" t="s">
        <v>217</v>
      </c>
      <c r="F67" s="25" t="s">
        <v>281</v>
      </c>
      <c r="G67" s="23" t="s">
        <v>160</v>
      </c>
      <c r="H67" s="25" t="s">
        <v>160</v>
      </c>
    </row>
    <row r="69" customFormat="false" ht="27.75" hidden="false" customHeight="true" outlineLevel="0" collapsed="false">
      <c r="A69" s="29" t="s">
        <v>282</v>
      </c>
      <c r="B69" s="29"/>
      <c r="C69" s="29"/>
      <c r="D69" s="29"/>
      <c r="E69" s="29"/>
      <c r="F69" s="29"/>
      <c r="G69" s="29"/>
      <c r="H69" s="29"/>
      <c r="I69" s="29"/>
    </row>
  </sheetData>
  <mergeCells count="3">
    <mergeCell ref="A1:I1"/>
    <mergeCell ref="A2:I2"/>
    <mergeCell ref="A69:I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3E9D"/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3"/>
  </cols>
  <sheetData>
    <row r="1" customFormat="false" ht="27.75" hidden="false" customHeight="true" outlineLevel="0" collapsed="false">
      <c r="A1" s="21" t="s">
        <v>283</v>
      </c>
      <c r="B1" s="21"/>
      <c r="C1" s="21"/>
      <c r="D1" s="21"/>
      <c r="E1" s="21"/>
      <c r="F1" s="21"/>
      <c r="G1" s="21"/>
      <c r="H1" s="21"/>
      <c r="I1" s="21"/>
    </row>
    <row r="2" customFormat="false" ht="16.5" hidden="false" customHeight="true" outlineLevel="0" collapsed="false">
      <c r="A2" s="2" t="s">
        <v>284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148</v>
      </c>
    </row>
    <row r="5" customFormat="false" ht="27.75" hidden="false" customHeight="true" outlineLevel="0" collapsed="false">
      <c r="A5" s="22" t="s">
        <v>285</v>
      </c>
      <c r="B5" s="22" t="s">
        <v>107</v>
      </c>
      <c r="C5" s="22" t="s">
        <v>150</v>
      </c>
      <c r="D5" s="22" t="s">
        <v>108</v>
      </c>
      <c r="E5" s="22" t="s">
        <v>151</v>
      </c>
      <c r="F5" s="22" t="s">
        <v>152</v>
      </c>
    </row>
    <row r="6" customFormat="false" ht="15" hidden="false" customHeight="false" outlineLevel="0" collapsed="false">
      <c r="A6" s="7" t="s">
        <v>286</v>
      </c>
      <c r="B6" s="23" t="n">
        <v>2798157</v>
      </c>
      <c r="C6" s="25" t="s">
        <v>287</v>
      </c>
      <c r="D6" s="24" t="n">
        <v>11271.7</v>
      </c>
      <c r="E6" s="25" t="s">
        <v>223</v>
      </c>
      <c r="F6" s="25" t="s">
        <v>288</v>
      </c>
    </row>
    <row r="7" customFormat="false" ht="15" hidden="false" customHeight="false" outlineLevel="0" collapsed="false">
      <c r="A7" s="7" t="s">
        <v>289</v>
      </c>
      <c r="B7" s="23" t="n">
        <v>1139549</v>
      </c>
      <c r="C7" s="25" t="s">
        <v>290</v>
      </c>
      <c r="D7" s="24" t="n">
        <v>15326.6</v>
      </c>
      <c r="E7" s="25" t="s">
        <v>291</v>
      </c>
      <c r="F7" s="25" t="s">
        <v>292</v>
      </c>
    </row>
    <row r="8" customFormat="false" ht="15" hidden="false" customHeight="false" outlineLevel="0" collapsed="false">
      <c r="A8" s="7" t="s">
        <v>293</v>
      </c>
      <c r="B8" s="23" t="n">
        <v>33370</v>
      </c>
      <c r="C8" s="25" t="s">
        <v>280</v>
      </c>
      <c r="D8" s="24" t="n">
        <v>17847.4</v>
      </c>
      <c r="E8" s="25" t="s">
        <v>294</v>
      </c>
      <c r="F8" s="25" t="s">
        <v>295</v>
      </c>
    </row>
    <row r="10" customFormat="false" ht="15" hidden="false" customHeight="false" outlineLevel="0" collapsed="false">
      <c r="A10" s="3" t="s">
        <v>192</v>
      </c>
    </row>
    <row r="11" customFormat="false" ht="27.75" hidden="false" customHeight="true" outlineLevel="0" collapsed="false">
      <c r="A11" s="22" t="s">
        <v>285</v>
      </c>
      <c r="B11" s="22" t="s">
        <v>107</v>
      </c>
      <c r="C11" s="22" t="s">
        <v>150</v>
      </c>
      <c r="D11" s="22" t="s">
        <v>108</v>
      </c>
      <c r="E11" s="22" t="s">
        <v>151</v>
      </c>
      <c r="F11" s="22" t="s">
        <v>152</v>
      </c>
    </row>
    <row r="12" customFormat="false" ht="15" hidden="false" customHeight="false" outlineLevel="0" collapsed="false">
      <c r="A12" s="7" t="s">
        <v>286</v>
      </c>
      <c r="B12" s="23" t="n">
        <v>11082720</v>
      </c>
      <c r="C12" s="25" t="s">
        <v>296</v>
      </c>
      <c r="D12" s="24" t="n">
        <v>31176.2</v>
      </c>
      <c r="E12" s="25" t="s">
        <v>297</v>
      </c>
      <c r="F12" s="25" t="s">
        <v>231</v>
      </c>
    </row>
    <row r="13" customFormat="false" ht="15" hidden="false" customHeight="false" outlineLevel="0" collapsed="false">
      <c r="A13" s="7" t="s">
        <v>289</v>
      </c>
      <c r="B13" s="23" t="n">
        <v>7794867</v>
      </c>
      <c r="C13" s="25" t="s">
        <v>298</v>
      </c>
      <c r="D13" s="24" t="n">
        <v>251863.4</v>
      </c>
      <c r="E13" s="25" t="s">
        <v>299</v>
      </c>
      <c r="F13" s="25" t="s">
        <v>300</v>
      </c>
    </row>
    <row r="14" customFormat="false" ht="15" hidden="false" customHeight="false" outlineLevel="0" collapsed="false">
      <c r="A14" s="7" t="s">
        <v>293</v>
      </c>
      <c r="B14" s="23" t="n">
        <v>64442</v>
      </c>
      <c r="C14" s="25" t="s">
        <v>217</v>
      </c>
      <c r="D14" s="24" t="n">
        <v>29625.4</v>
      </c>
      <c r="E14" s="25" t="s">
        <v>301</v>
      </c>
      <c r="F14" s="25" t="s">
        <v>302</v>
      </c>
    </row>
    <row r="16" customFormat="false" ht="15" hidden="false" customHeight="false" outlineLevel="0" collapsed="false">
      <c r="A16" s="3" t="s">
        <v>219</v>
      </c>
    </row>
    <row r="17" customFormat="false" ht="27.75" hidden="false" customHeight="true" outlineLevel="0" collapsed="false">
      <c r="A17" s="22" t="s">
        <v>285</v>
      </c>
      <c r="B17" s="22" t="s">
        <v>107</v>
      </c>
      <c r="C17" s="22" t="s">
        <v>150</v>
      </c>
      <c r="D17" s="22" t="s">
        <v>108</v>
      </c>
      <c r="E17" s="22" t="s">
        <v>151</v>
      </c>
      <c r="F17" s="22" t="s">
        <v>152</v>
      </c>
    </row>
    <row r="18" customFormat="false" ht="15" hidden="false" customHeight="false" outlineLevel="0" collapsed="false">
      <c r="A18" s="7" t="s">
        <v>289</v>
      </c>
      <c r="B18" s="23" t="n">
        <v>4231093</v>
      </c>
      <c r="C18" s="25" t="s">
        <v>303</v>
      </c>
      <c r="D18" s="24" t="n">
        <v>165035.4</v>
      </c>
      <c r="E18" s="25" t="s">
        <v>304</v>
      </c>
      <c r="F18" s="25" t="s">
        <v>305</v>
      </c>
    </row>
    <row r="19" customFormat="false" ht="15" hidden="false" customHeight="false" outlineLevel="0" collapsed="false">
      <c r="A19" s="7" t="s">
        <v>286</v>
      </c>
      <c r="B19" s="23" t="n">
        <v>1076964</v>
      </c>
      <c r="C19" s="25" t="s">
        <v>306</v>
      </c>
      <c r="D19" s="24" t="n">
        <v>2848.2</v>
      </c>
      <c r="E19" s="25" t="s">
        <v>307</v>
      </c>
      <c r="F19" s="25" t="s">
        <v>256</v>
      </c>
    </row>
    <row r="20" customFormat="false" ht="15" hidden="false" customHeight="false" outlineLevel="0" collapsed="false">
      <c r="A20" s="7" t="s">
        <v>293</v>
      </c>
      <c r="B20" s="23" t="n">
        <v>62170</v>
      </c>
      <c r="C20" s="25" t="s">
        <v>236</v>
      </c>
      <c r="D20" s="24" t="n">
        <v>28897.1</v>
      </c>
      <c r="E20" s="25" t="s">
        <v>267</v>
      </c>
      <c r="F20" s="25" t="s">
        <v>308</v>
      </c>
    </row>
    <row r="22" customFormat="false" ht="15" hidden="false" customHeight="false" outlineLevel="0" collapsed="false">
      <c r="A22" s="3" t="s">
        <v>243</v>
      </c>
    </row>
    <row r="23" customFormat="false" ht="27.75" hidden="false" customHeight="true" outlineLevel="0" collapsed="false">
      <c r="A23" s="22" t="s">
        <v>285</v>
      </c>
      <c r="B23" s="22" t="s">
        <v>107</v>
      </c>
      <c r="C23" s="22" t="s">
        <v>150</v>
      </c>
      <c r="D23" s="22" t="s">
        <v>108</v>
      </c>
      <c r="E23" s="22" t="s">
        <v>151</v>
      </c>
      <c r="F23" s="22" t="s">
        <v>152</v>
      </c>
    </row>
    <row r="24" customFormat="false" ht="15" hidden="false" customHeight="false" outlineLevel="0" collapsed="false">
      <c r="A24" s="7" t="s">
        <v>289</v>
      </c>
      <c r="B24" s="23" t="n">
        <v>895267</v>
      </c>
      <c r="C24" s="25" t="s">
        <v>309</v>
      </c>
      <c r="D24" s="24" t="n">
        <v>47482</v>
      </c>
      <c r="E24" s="25" t="s">
        <v>310</v>
      </c>
      <c r="F24" s="25" t="s">
        <v>311</v>
      </c>
    </row>
    <row r="25" customFormat="false" ht="15" hidden="false" customHeight="false" outlineLevel="0" collapsed="false">
      <c r="A25" s="7" t="s">
        <v>286</v>
      </c>
      <c r="B25" s="23" t="n">
        <v>540710</v>
      </c>
      <c r="C25" s="25" t="s">
        <v>312</v>
      </c>
      <c r="D25" s="24" t="n">
        <v>1024.4</v>
      </c>
      <c r="E25" s="25" t="s">
        <v>197</v>
      </c>
      <c r="F25" s="25" t="s">
        <v>256</v>
      </c>
    </row>
    <row r="26" customFormat="false" ht="15" hidden="false" customHeight="false" outlineLevel="0" collapsed="false">
      <c r="A26" s="7" t="s">
        <v>293</v>
      </c>
      <c r="B26" s="23" t="n">
        <v>3222</v>
      </c>
      <c r="C26" s="25" t="s">
        <v>187</v>
      </c>
      <c r="D26" s="24" t="n">
        <v>807.2</v>
      </c>
      <c r="E26" s="25" t="s">
        <v>232</v>
      </c>
      <c r="F26" s="25" t="s">
        <v>313</v>
      </c>
    </row>
    <row r="28" customFormat="false" ht="15" hidden="false" customHeight="false" outlineLevel="0" collapsed="false">
      <c r="A28" s="3" t="s">
        <v>264</v>
      </c>
    </row>
    <row r="29" customFormat="false" ht="27.75" hidden="false" customHeight="true" outlineLevel="0" collapsed="false">
      <c r="A29" s="22" t="s">
        <v>285</v>
      </c>
      <c r="B29" s="22" t="s">
        <v>107</v>
      </c>
      <c r="C29" s="22" t="s">
        <v>150</v>
      </c>
      <c r="D29" s="22" t="s">
        <v>108</v>
      </c>
      <c r="E29" s="22" t="s">
        <v>151</v>
      </c>
      <c r="F29" s="22" t="s">
        <v>152</v>
      </c>
    </row>
    <row r="30" customFormat="false" ht="15" hidden="false" customHeight="false" outlineLevel="0" collapsed="false">
      <c r="A30" s="7" t="s">
        <v>289</v>
      </c>
      <c r="B30" s="23" t="n">
        <v>829802</v>
      </c>
      <c r="C30" s="25" t="s">
        <v>314</v>
      </c>
      <c r="D30" s="24" t="n">
        <v>52940.2</v>
      </c>
      <c r="E30" s="25" t="s">
        <v>315</v>
      </c>
      <c r="F30" s="25" t="s">
        <v>316</v>
      </c>
    </row>
    <row r="31" customFormat="false" ht="15" hidden="false" customHeight="false" outlineLevel="0" collapsed="false">
      <c r="A31" s="7" t="s">
        <v>286</v>
      </c>
      <c r="B31" s="23" t="n">
        <v>206161</v>
      </c>
      <c r="C31" s="25" t="s">
        <v>317</v>
      </c>
      <c r="D31" s="24" t="n">
        <v>679.7</v>
      </c>
      <c r="E31" s="25" t="s">
        <v>318</v>
      </c>
      <c r="F31" s="25" t="s">
        <v>319</v>
      </c>
    </row>
    <row r="32" customFormat="false" ht="15" hidden="false" customHeight="false" outlineLevel="0" collapsed="false">
      <c r="A32" s="7" t="s">
        <v>293</v>
      </c>
      <c r="B32" s="23" t="n">
        <v>4893</v>
      </c>
      <c r="C32" s="25" t="s">
        <v>172</v>
      </c>
      <c r="D32" s="24" t="n">
        <v>794.1</v>
      </c>
      <c r="E32" s="25" t="s">
        <v>307</v>
      </c>
      <c r="F32" s="25" t="s">
        <v>320</v>
      </c>
    </row>
    <row r="34" customFormat="false" ht="30" hidden="false" customHeight="true" outlineLevel="0" collapsed="false">
      <c r="A34" s="29" t="s">
        <v>321</v>
      </c>
      <c r="B34" s="29"/>
      <c r="C34" s="29"/>
      <c r="D34" s="29"/>
      <c r="E34" s="29"/>
      <c r="F34" s="29"/>
      <c r="G34" s="29"/>
      <c r="H34" s="29"/>
      <c r="I34" s="29"/>
    </row>
    <row r="36" customFormat="false" ht="15" hidden="false" customHeight="false" outlineLevel="0" collapsed="false">
      <c r="A36" s="3" t="s">
        <v>322</v>
      </c>
    </row>
    <row r="37" customFormat="false" ht="27.75" hidden="false" customHeight="true" outlineLevel="0" collapsed="false">
      <c r="A37" s="22" t="s">
        <v>105</v>
      </c>
      <c r="B37" s="22" t="s">
        <v>106</v>
      </c>
      <c r="C37" s="22" t="s">
        <v>107</v>
      </c>
      <c r="D37" s="22" t="s">
        <v>108</v>
      </c>
      <c r="E37" s="22" t="s">
        <v>109</v>
      </c>
    </row>
    <row r="38" customFormat="false" ht="46.25" hidden="false" customHeight="false" outlineLevel="0" collapsed="false">
      <c r="A38" s="30" t="s">
        <v>110</v>
      </c>
      <c r="B38" s="31" t="s">
        <v>323</v>
      </c>
      <c r="C38" s="32" t="n">
        <v>57731</v>
      </c>
      <c r="D38" s="33" t="n">
        <v>27895.3</v>
      </c>
      <c r="E38" s="32" t="n">
        <v>4887</v>
      </c>
    </row>
    <row r="39" customFormat="false" ht="46.25" hidden="false" customHeight="false" outlineLevel="0" collapsed="false">
      <c r="A39" s="34" t="s">
        <v>112</v>
      </c>
      <c r="B39" s="7" t="s">
        <v>137</v>
      </c>
      <c r="C39" s="23" t="n">
        <v>264572</v>
      </c>
      <c r="D39" s="24" t="n">
        <v>14576.3</v>
      </c>
      <c r="E39" s="23" t="n">
        <v>603</v>
      </c>
    </row>
    <row r="40" customFormat="false" ht="46.25" hidden="false" customHeight="false" outlineLevel="0" collapsed="false">
      <c r="A40" s="34" t="s">
        <v>114</v>
      </c>
      <c r="B40" s="7" t="s">
        <v>324</v>
      </c>
      <c r="C40" s="23" t="n">
        <v>377362</v>
      </c>
      <c r="D40" s="24" t="n">
        <v>13765.3</v>
      </c>
      <c r="E40" s="23" t="n">
        <v>2706</v>
      </c>
    </row>
    <row r="41" customFormat="false" ht="46.25" hidden="false" customHeight="false" outlineLevel="0" collapsed="false">
      <c r="A41" s="34" t="s">
        <v>116</v>
      </c>
      <c r="B41" s="7" t="s">
        <v>141</v>
      </c>
      <c r="C41" s="23" t="n">
        <v>115632</v>
      </c>
      <c r="D41" s="24" t="n">
        <v>12068.1</v>
      </c>
      <c r="E41" s="23" t="n">
        <v>1917</v>
      </c>
    </row>
    <row r="42" customFormat="false" ht="35.05" hidden="false" customHeight="false" outlineLevel="0" collapsed="false">
      <c r="A42" s="34" t="s">
        <v>118</v>
      </c>
      <c r="B42" s="7" t="s">
        <v>325</v>
      </c>
      <c r="C42" s="23" t="n">
        <v>284948</v>
      </c>
      <c r="D42" s="24" t="n">
        <v>11202.8</v>
      </c>
      <c r="E42" s="23" t="n">
        <v>495</v>
      </c>
    </row>
    <row r="43" customFormat="false" ht="35.05" hidden="false" customHeight="false" outlineLevel="0" collapsed="false">
      <c r="A43" s="34" t="s">
        <v>120</v>
      </c>
      <c r="B43" s="7" t="s">
        <v>139</v>
      </c>
      <c r="C43" s="23" t="n">
        <v>132142</v>
      </c>
      <c r="D43" s="24" t="n">
        <v>11171.4</v>
      </c>
      <c r="E43" s="23" t="n">
        <v>13</v>
      </c>
    </row>
    <row r="44" customFormat="false" ht="30" hidden="false" customHeight="true" outlineLevel="0" collapsed="false">
      <c r="A44" s="29" t="s">
        <v>326</v>
      </c>
      <c r="B44" s="29"/>
      <c r="C44" s="29"/>
      <c r="D44" s="29"/>
      <c r="E44" s="29"/>
      <c r="F44" s="29"/>
      <c r="G44" s="29"/>
      <c r="H44" s="29"/>
      <c r="I44" s="29"/>
    </row>
    <row r="46" customFormat="false" ht="15" hidden="false" customHeight="false" outlineLevel="0" collapsed="false">
      <c r="A46" s="3" t="s">
        <v>327</v>
      </c>
    </row>
    <row r="47" customFormat="false" ht="27.75" hidden="false" customHeight="true" outlineLevel="0" collapsed="false">
      <c r="A47" s="22" t="s">
        <v>328</v>
      </c>
      <c r="B47" s="22" t="s">
        <v>329</v>
      </c>
      <c r="C47" s="22" t="s">
        <v>330</v>
      </c>
    </row>
    <row r="48" customFormat="false" ht="15" hidden="false" customHeight="false" outlineLevel="0" collapsed="false">
      <c r="A48" s="7" t="s">
        <v>289</v>
      </c>
      <c r="B48" s="23" t="n">
        <v>14574</v>
      </c>
      <c r="C48" s="25" t="s">
        <v>331</v>
      </c>
    </row>
    <row r="49" customFormat="false" ht="15" hidden="false" customHeight="false" outlineLevel="0" collapsed="false">
      <c r="A49" s="7" t="s">
        <v>293</v>
      </c>
      <c r="B49" s="23" t="n">
        <v>4907</v>
      </c>
      <c r="C49" s="25" t="s">
        <v>332</v>
      </c>
    </row>
    <row r="50" customFormat="false" ht="15" hidden="false" customHeight="false" outlineLevel="0" collapsed="false">
      <c r="A50" s="7" t="s">
        <v>333</v>
      </c>
      <c r="B50" s="23" t="n">
        <v>2350</v>
      </c>
      <c r="C50" s="25" t="s">
        <v>334</v>
      </c>
    </row>
    <row r="51" customFormat="false" ht="15" hidden="false" customHeight="false" outlineLevel="0" collapsed="false">
      <c r="A51" s="7" t="s">
        <v>286</v>
      </c>
      <c r="B51" s="23" t="n">
        <v>932</v>
      </c>
      <c r="C51" s="25" t="s">
        <v>335</v>
      </c>
    </row>
    <row r="52" customFormat="false" ht="30" hidden="false" customHeight="true" outlineLevel="0" collapsed="false">
      <c r="A52" s="29" t="s">
        <v>336</v>
      </c>
      <c r="B52" s="29"/>
      <c r="C52" s="29"/>
      <c r="D52" s="29"/>
      <c r="E52" s="29"/>
      <c r="F52" s="29"/>
      <c r="G52" s="29"/>
      <c r="H52" s="29"/>
      <c r="I52" s="29"/>
    </row>
  </sheetData>
  <mergeCells count="5">
    <mergeCell ref="A1:I1"/>
    <mergeCell ref="A2:I2"/>
    <mergeCell ref="A34:I34"/>
    <mergeCell ref="A44:I44"/>
    <mergeCell ref="A52:I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3"/>
  </cols>
  <sheetData>
    <row r="1" customFormat="false" ht="27.75" hidden="false" customHeight="true" outlineLevel="0" collapsed="false">
      <c r="A1" s="21" t="s">
        <v>337</v>
      </c>
      <c r="B1" s="21"/>
      <c r="C1" s="21"/>
      <c r="D1" s="21"/>
      <c r="E1" s="21"/>
      <c r="F1" s="21"/>
      <c r="G1" s="21"/>
      <c r="H1" s="21"/>
      <c r="I1" s="21"/>
    </row>
    <row r="2" customFormat="false" ht="16.5" hidden="false" customHeight="true" outlineLevel="0" collapsed="false">
      <c r="A2" s="2" t="s">
        <v>338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339</v>
      </c>
    </row>
    <row r="5" customFormat="false" ht="27.75" hidden="false" customHeight="true" outlineLevel="0" collapsed="false">
      <c r="A5" s="22" t="s">
        <v>6</v>
      </c>
      <c r="B5" s="22" t="s">
        <v>340</v>
      </c>
      <c r="C5" s="22" t="s">
        <v>341</v>
      </c>
      <c r="D5" s="22" t="s">
        <v>342</v>
      </c>
      <c r="E5" s="22" t="s">
        <v>343</v>
      </c>
      <c r="F5" s="22" t="s">
        <v>344</v>
      </c>
      <c r="G5" s="22" t="s">
        <v>345</v>
      </c>
      <c r="H5" s="22" t="s">
        <v>346</v>
      </c>
    </row>
    <row r="6" customFormat="false" ht="15" hidden="false" customHeight="false" outlineLevel="0" collapsed="false">
      <c r="A6" s="7" t="s">
        <v>82</v>
      </c>
      <c r="B6" s="25" t="s">
        <v>347</v>
      </c>
      <c r="C6" s="25" t="s">
        <v>348</v>
      </c>
      <c r="D6" s="25" t="s">
        <v>349</v>
      </c>
      <c r="E6" s="25" t="s">
        <v>350</v>
      </c>
      <c r="F6" s="25" t="s">
        <v>351</v>
      </c>
      <c r="G6" s="25" t="s">
        <v>352</v>
      </c>
      <c r="H6" s="25" t="s">
        <v>353</v>
      </c>
    </row>
    <row r="7" customFormat="false" ht="15" hidden="false" customHeight="false" outlineLevel="0" collapsed="false">
      <c r="A7" s="7" t="s">
        <v>83</v>
      </c>
      <c r="B7" s="25" t="s">
        <v>354</v>
      </c>
      <c r="C7" s="25" t="s">
        <v>355</v>
      </c>
      <c r="D7" s="25" t="s">
        <v>356</v>
      </c>
      <c r="E7" s="25" t="s">
        <v>357</v>
      </c>
      <c r="F7" s="25" t="s">
        <v>358</v>
      </c>
      <c r="G7" s="25" t="s">
        <v>359</v>
      </c>
      <c r="H7" s="25" t="s">
        <v>360</v>
      </c>
    </row>
    <row r="8" customFormat="false" ht="15" hidden="false" customHeight="false" outlineLevel="0" collapsed="false">
      <c r="A8" s="7" t="s">
        <v>84</v>
      </c>
      <c r="B8" s="25" t="s">
        <v>361</v>
      </c>
      <c r="C8" s="25" t="s">
        <v>362</v>
      </c>
      <c r="D8" s="25" t="s">
        <v>363</v>
      </c>
      <c r="E8" s="25" t="s">
        <v>364</v>
      </c>
      <c r="F8" s="25" t="s">
        <v>193</v>
      </c>
      <c r="G8" s="25" t="s">
        <v>365</v>
      </c>
      <c r="H8" s="25" t="s">
        <v>366</v>
      </c>
    </row>
    <row r="9" customFormat="false" ht="15" hidden="false" customHeight="false" outlineLevel="0" collapsed="false">
      <c r="A9" s="7" t="s">
        <v>85</v>
      </c>
      <c r="B9" s="25" t="s">
        <v>367</v>
      </c>
      <c r="C9" s="25" t="s">
        <v>368</v>
      </c>
      <c r="D9" s="25" t="s">
        <v>369</v>
      </c>
      <c r="E9" s="25" t="s">
        <v>370</v>
      </c>
      <c r="F9" s="25" t="s">
        <v>371</v>
      </c>
      <c r="G9" s="25" t="s">
        <v>372</v>
      </c>
      <c r="H9" s="25" t="s">
        <v>373</v>
      </c>
    </row>
    <row r="10" customFormat="false" ht="15" hidden="false" customHeight="false" outlineLevel="0" collapsed="false">
      <c r="A10" s="7" t="s">
        <v>86</v>
      </c>
      <c r="B10" s="25" t="s">
        <v>374</v>
      </c>
      <c r="C10" s="25" t="s">
        <v>375</v>
      </c>
      <c r="D10" s="25" t="s">
        <v>376</v>
      </c>
      <c r="E10" s="25" t="s">
        <v>377</v>
      </c>
      <c r="F10" s="25" t="s">
        <v>378</v>
      </c>
      <c r="G10" s="25" t="s">
        <v>379</v>
      </c>
      <c r="H10" s="25" t="s">
        <v>380</v>
      </c>
    </row>
    <row r="11" customFormat="false" ht="30" hidden="false" customHeight="true" outlineLevel="0" collapsed="false">
      <c r="A11" s="29" t="s">
        <v>381</v>
      </c>
      <c r="B11" s="29"/>
      <c r="C11" s="29"/>
      <c r="D11" s="29"/>
      <c r="E11" s="29"/>
      <c r="F11" s="29"/>
      <c r="G11" s="29"/>
      <c r="H11" s="29"/>
      <c r="I11" s="29"/>
    </row>
    <row r="13" customFormat="false" ht="15" hidden="false" customHeight="false" outlineLevel="0" collapsed="false">
      <c r="A13" s="3" t="s">
        <v>382</v>
      </c>
    </row>
    <row r="14" customFormat="false" ht="27.75" hidden="false" customHeight="true" outlineLevel="0" collapsed="false">
      <c r="A14" s="22" t="s">
        <v>6</v>
      </c>
      <c r="B14" s="22" t="s">
        <v>383</v>
      </c>
      <c r="C14" s="22" t="s">
        <v>384</v>
      </c>
      <c r="D14" s="22" t="s">
        <v>385</v>
      </c>
      <c r="E14" s="22" t="s">
        <v>386</v>
      </c>
      <c r="F14" s="22" t="s">
        <v>387</v>
      </c>
    </row>
    <row r="15" customFormat="false" ht="15" hidden="false" customHeight="false" outlineLevel="0" collapsed="false">
      <c r="A15" s="7" t="s">
        <v>388</v>
      </c>
      <c r="B15" s="25" t="s">
        <v>389</v>
      </c>
      <c r="C15" s="25" t="s">
        <v>390</v>
      </c>
      <c r="D15" s="25" t="s">
        <v>99</v>
      </c>
      <c r="E15" s="25" t="s">
        <v>365</v>
      </c>
      <c r="F15" s="25" t="s">
        <v>362</v>
      </c>
    </row>
    <row r="16" customFormat="false" ht="15" hidden="false" customHeight="false" outlineLevel="0" collapsed="false">
      <c r="A16" s="7" t="s">
        <v>86</v>
      </c>
      <c r="B16" s="25" t="s">
        <v>391</v>
      </c>
      <c r="C16" s="25" t="s">
        <v>392</v>
      </c>
      <c r="D16" s="25" t="s">
        <v>393</v>
      </c>
      <c r="E16" s="25" t="s">
        <v>394</v>
      </c>
      <c r="F16" s="25" t="s">
        <v>395</v>
      </c>
    </row>
    <row r="17" customFormat="false" ht="15" hidden="false" customHeight="false" outlineLevel="0" collapsed="false">
      <c r="A17" s="7" t="s">
        <v>396</v>
      </c>
      <c r="B17" s="25" t="s">
        <v>397</v>
      </c>
      <c r="C17" s="25" t="s">
        <v>160</v>
      </c>
      <c r="D17" s="25" t="s">
        <v>398</v>
      </c>
      <c r="E17" s="25" t="s">
        <v>160</v>
      </c>
      <c r="F17" s="25" t="s">
        <v>398</v>
      </c>
    </row>
    <row r="18" customFormat="false" ht="30" hidden="false" customHeight="true" outlineLevel="0" collapsed="false">
      <c r="A18" s="29" t="s">
        <v>399</v>
      </c>
      <c r="B18" s="29"/>
      <c r="C18" s="29"/>
      <c r="D18" s="29"/>
      <c r="E18" s="29"/>
      <c r="F18" s="29"/>
      <c r="G18" s="29"/>
      <c r="H18" s="29"/>
      <c r="I18" s="29"/>
    </row>
    <row r="20" customFormat="false" ht="15" hidden="false" customHeight="false" outlineLevel="0" collapsed="false">
      <c r="A20" s="3" t="s">
        <v>400</v>
      </c>
    </row>
    <row r="21" customFormat="false" ht="27.75" hidden="false" customHeight="true" outlineLevel="0" collapsed="false">
      <c r="A21" s="22" t="s">
        <v>401</v>
      </c>
      <c r="B21" s="22" t="s">
        <v>150</v>
      </c>
      <c r="C21" s="22"/>
      <c r="D21" s="22" t="s">
        <v>402</v>
      </c>
      <c r="E21" s="22" t="s">
        <v>150</v>
      </c>
      <c r="F21" s="22"/>
      <c r="G21" s="22" t="s">
        <v>403</v>
      </c>
      <c r="H21" s="22" t="s">
        <v>404</v>
      </c>
    </row>
    <row r="22" customFormat="false" ht="15" hidden="false" customHeight="false" outlineLevel="0" collapsed="false">
      <c r="A22" s="7" t="s">
        <v>405</v>
      </c>
      <c r="B22" s="25" t="s">
        <v>406</v>
      </c>
      <c r="C22" s="34"/>
      <c r="D22" s="7" t="s">
        <v>407</v>
      </c>
      <c r="E22" s="25" t="s">
        <v>408</v>
      </c>
      <c r="F22" s="34"/>
      <c r="G22" s="7" t="s">
        <v>409</v>
      </c>
      <c r="H22" s="25" t="s">
        <v>410</v>
      </c>
    </row>
    <row r="23" customFormat="false" ht="15" hidden="false" customHeight="false" outlineLevel="0" collapsed="false">
      <c r="A23" s="7" t="s">
        <v>411</v>
      </c>
      <c r="B23" s="25" t="s">
        <v>102</v>
      </c>
      <c r="C23" s="34"/>
      <c r="D23" s="7" t="s">
        <v>412</v>
      </c>
      <c r="E23" s="25" t="s">
        <v>413</v>
      </c>
      <c r="F23" s="34"/>
      <c r="G23" s="7" t="s">
        <v>414</v>
      </c>
      <c r="H23" s="25" t="s">
        <v>415</v>
      </c>
    </row>
    <row r="24" customFormat="false" ht="23.85" hidden="false" customHeight="false" outlineLevel="0" collapsed="false">
      <c r="A24" s="7" t="s">
        <v>416</v>
      </c>
      <c r="B24" s="25" t="s">
        <v>417</v>
      </c>
      <c r="C24" s="34"/>
      <c r="D24" s="7"/>
      <c r="E24" s="25"/>
      <c r="F24" s="34"/>
      <c r="G24" s="7" t="s">
        <v>418</v>
      </c>
      <c r="H24" s="25" t="s">
        <v>419</v>
      </c>
    </row>
    <row r="25" customFormat="false" ht="15" hidden="false" customHeight="false" outlineLevel="0" collapsed="false">
      <c r="A25" s="7" t="s">
        <v>420</v>
      </c>
      <c r="B25" s="25" t="s">
        <v>413</v>
      </c>
      <c r="C25" s="34"/>
      <c r="D25" s="7"/>
      <c r="E25" s="25"/>
      <c r="F25" s="34"/>
      <c r="G25" s="7" t="s">
        <v>421</v>
      </c>
      <c r="H25" s="25" t="s">
        <v>422</v>
      </c>
    </row>
    <row r="26" customFormat="false" ht="15" hidden="false" customHeight="false" outlineLevel="0" collapsed="false">
      <c r="A26" s="7" t="s">
        <v>423</v>
      </c>
      <c r="B26" s="25" t="s">
        <v>424</v>
      </c>
      <c r="C26" s="34"/>
      <c r="D26" s="7"/>
      <c r="E26" s="25"/>
      <c r="F26" s="34"/>
      <c r="G26" s="7"/>
      <c r="H26" s="25"/>
    </row>
    <row r="27" customFormat="false" ht="15" hidden="false" customHeight="false" outlineLevel="0" collapsed="false">
      <c r="A27" s="7" t="s">
        <v>425</v>
      </c>
      <c r="B27" s="25" t="s">
        <v>426</v>
      </c>
      <c r="C27" s="34"/>
      <c r="D27" s="7"/>
      <c r="E27" s="25"/>
      <c r="F27" s="34"/>
      <c r="G27" s="7"/>
      <c r="H27" s="25"/>
    </row>
    <row r="28" customFormat="false" ht="15" hidden="false" customHeight="false" outlineLevel="0" collapsed="false">
      <c r="A28" s="7" t="s">
        <v>427</v>
      </c>
      <c r="B28" s="25" t="s">
        <v>211</v>
      </c>
      <c r="C28" s="34"/>
      <c r="D28" s="7"/>
      <c r="E28" s="25"/>
      <c r="F28" s="34"/>
      <c r="G28" s="7"/>
      <c r="H28" s="25"/>
    </row>
    <row r="30" customFormat="false" ht="15" hidden="false" customHeight="false" outlineLevel="0" collapsed="false">
      <c r="A30" s="3" t="s">
        <v>428</v>
      </c>
    </row>
    <row r="31" customFormat="false" ht="27.75" hidden="false" customHeight="true" outlineLevel="0" collapsed="false">
      <c r="A31" s="22" t="s">
        <v>429</v>
      </c>
      <c r="B31" s="22" t="s">
        <v>430</v>
      </c>
      <c r="C31" s="22"/>
      <c r="D31" s="22" t="s">
        <v>431</v>
      </c>
      <c r="E31" s="22" t="s">
        <v>430</v>
      </c>
      <c r="F31" s="22"/>
      <c r="G31" s="22" t="s">
        <v>432</v>
      </c>
      <c r="H31" s="22" t="s">
        <v>430</v>
      </c>
    </row>
    <row r="32" customFormat="false" ht="35.05" hidden="false" customHeight="false" outlineLevel="0" collapsed="false">
      <c r="A32" s="7" t="s">
        <v>433</v>
      </c>
      <c r="B32" s="25" t="s">
        <v>434</v>
      </c>
      <c r="C32" s="34"/>
      <c r="D32" s="7" t="s">
        <v>435</v>
      </c>
      <c r="E32" s="25" t="s">
        <v>436</v>
      </c>
      <c r="F32" s="34"/>
      <c r="G32" s="7" t="s">
        <v>437</v>
      </c>
      <c r="H32" s="25" t="s">
        <v>438</v>
      </c>
    </row>
    <row r="33" customFormat="false" ht="35.05" hidden="false" customHeight="false" outlineLevel="0" collapsed="false">
      <c r="A33" s="7" t="s">
        <v>439</v>
      </c>
      <c r="B33" s="25" t="s">
        <v>236</v>
      </c>
      <c r="C33" s="34"/>
      <c r="D33" s="7" t="s">
        <v>440</v>
      </c>
      <c r="E33" s="25" t="s">
        <v>163</v>
      </c>
      <c r="F33" s="34"/>
      <c r="G33" s="7" t="s">
        <v>441</v>
      </c>
      <c r="H33" s="25" t="s">
        <v>442</v>
      </c>
    </row>
    <row r="34" customFormat="false" ht="15" hidden="false" customHeight="false" outlineLevel="0" collapsed="false">
      <c r="A34" s="7" t="s">
        <v>443</v>
      </c>
      <c r="B34" s="25" t="s">
        <v>172</v>
      </c>
      <c r="C34" s="34"/>
      <c r="D34" s="7" t="s">
        <v>444</v>
      </c>
      <c r="E34" s="25" t="s">
        <v>187</v>
      </c>
      <c r="F34" s="34"/>
      <c r="G34" s="7"/>
      <c r="H34" s="25"/>
    </row>
    <row r="35" customFormat="false" ht="15" hidden="false" customHeight="false" outlineLevel="0" collapsed="false">
      <c r="A35" s="7" t="s">
        <v>445</v>
      </c>
      <c r="B35" s="25" t="s">
        <v>446</v>
      </c>
      <c r="C35" s="34"/>
      <c r="D35" s="7"/>
      <c r="E35" s="25"/>
      <c r="F35" s="34"/>
      <c r="G35" s="7"/>
      <c r="H35" s="25"/>
    </row>
    <row r="37" customFormat="false" ht="15" hidden="false" customHeight="false" outlineLevel="0" collapsed="false">
      <c r="A37" s="3" t="s">
        <v>447</v>
      </c>
    </row>
    <row r="38" customFormat="false" ht="30" hidden="false" customHeight="true" outlineLevel="0" collapsed="false">
      <c r="A38" s="4" t="s">
        <v>448</v>
      </c>
      <c r="B38" s="4"/>
      <c r="C38" s="4"/>
      <c r="D38" s="4"/>
      <c r="E38" s="4"/>
      <c r="F38" s="4"/>
      <c r="G38" s="4"/>
      <c r="H38" s="4"/>
    </row>
    <row r="39" customFormat="false" ht="27.75" hidden="false" customHeight="true" outlineLevel="0" collapsed="false">
      <c r="A39" s="4" t="s">
        <v>449</v>
      </c>
      <c r="B39" s="4"/>
      <c r="C39" s="4"/>
      <c r="D39" s="4"/>
      <c r="E39" s="4"/>
      <c r="F39" s="4"/>
      <c r="G39" s="4"/>
      <c r="H39" s="4"/>
    </row>
  </sheetData>
  <mergeCells count="6">
    <mergeCell ref="A1:I1"/>
    <mergeCell ref="A2:I2"/>
    <mergeCell ref="A11:I11"/>
    <mergeCell ref="A18:I18"/>
    <mergeCell ref="A38:H38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C7C"/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6" min="4" style="0" width="15"/>
  </cols>
  <sheetData>
    <row r="1" customFormat="false" ht="27.75" hidden="false" customHeight="true" outlineLevel="0" collapsed="false">
      <c r="A1" s="21" t="s">
        <v>450</v>
      </c>
      <c r="B1" s="21"/>
      <c r="C1" s="21"/>
      <c r="D1" s="21"/>
      <c r="E1" s="21"/>
      <c r="F1" s="21"/>
      <c r="G1" s="21"/>
    </row>
    <row r="2" customFormat="false" ht="16.5" hidden="false" customHeight="true" outlineLevel="0" collapsed="false">
      <c r="A2" s="2" t="s">
        <v>451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452</v>
      </c>
    </row>
    <row r="5" customFormat="false" ht="27.75" hidden="false" customHeight="true" outlineLevel="0" collapsed="false">
      <c r="A5" s="22" t="s">
        <v>453</v>
      </c>
      <c r="B5" s="22" t="s">
        <v>454</v>
      </c>
      <c r="C5" s="22" t="s">
        <v>455</v>
      </c>
      <c r="D5" s="22" t="s">
        <v>456</v>
      </c>
    </row>
    <row r="6" customFormat="false" ht="15" hidden="false" customHeight="false" outlineLevel="0" collapsed="false">
      <c r="A6" s="7" t="s">
        <v>457</v>
      </c>
      <c r="B6" s="23" t="n">
        <v>3257</v>
      </c>
      <c r="C6" s="23" t="n">
        <v>353</v>
      </c>
      <c r="D6" s="23" t="n">
        <v>2904</v>
      </c>
    </row>
    <row r="7" customFormat="false" ht="15" hidden="false" customHeight="false" outlineLevel="0" collapsed="false">
      <c r="A7" s="7" t="s">
        <v>458</v>
      </c>
      <c r="B7" s="23" t="n">
        <v>2194</v>
      </c>
      <c r="C7" s="23" t="n">
        <v>303</v>
      </c>
      <c r="D7" s="23" t="n">
        <v>1891</v>
      </c>
    </row>
    <row r="8" customFormat="false" ht="15" hidden="false" customHeight="false" outlineLevel="0" collapsed="false">
      <c r="A8" s="7" t="s">
        <v>459</v>
      </c>
      <c r="B8" s="23" t="n">
        <v>2308</v>
      </c>
      <c r="C8" s="23" t="n">
        <v>300</v>
      </c>
      <c r="D8" s="23" t="n">
        <v>2008</v>
      </c>
    </row>
    <row r="9" customFormat="false" ht="15" hidden="false" customHeight="false" outlineLevel="0" collapsed="false">
      <c r="A9" s="7" t="s">
        <v>460</v>
      </c>
      <c r="B9" s="23" t="n">
        <v>3958</v>
      </c>
      <c r="C9" s="23" t="n">
        <v>414</v>
      </c>
      <c r="D9" s="23" t="n">
        <v>3544</v>
      </c>
    </row>
    <row r="10" customFormat="false" ht="15" hidden="false" customHeight="false" outlineLevel="0" collapsed="false">
      <c r="A10" s="7" t="s">
        <v>461</v>
      </c>
      <c r="B10" s="23" t="n">
        <v>5744</v>
      </c>
      <c r="C10" s="23" t="n">
        <v>636</v>
      </c>
      <c r="D10" s="23" t="n">
        <v>5108</v>
      </c>
    </row>
    <row r="11" customFormat="false" ht="15" hidden="false" customHeight="false" outlineLevel="0" collapsed="false">
      <c r="A11" s="7" t="s">
        <v>462</v>
      </c>
      <c r="B11" s="23" t="n">
        <v>6483</v>
      </c>
      <c r="C11" s="23" t="n">
        <v>432</v>
      </c>
      <c r="D11" s="23" t="n">
        <v>6051</v>
      </c>
    </row>
    <row r="12" customFormat="false" ht="15" hidden="false" customHeight="false" outlineLevel="0" collapsed="false">
      <c r="A12" s="37" t="s">
        <v>463</v>
      </c>
      <c r="B12" s="38" t="n">
        <v>12661</v>
      </c>
      <c r="C12" s="38" t="n">
        <v>763</v>
      </c>
      <c r="D12" s="38" t="n">
        <v>11898</v>
      </c>
    </row>
    <row r="13" customFormat="false" ht="15" hidden="false" customHeight="false" outlineLevel="0" collapsed="false">
      <c r="A13" s="7" t="s">
        <v>464</v>
      </c>
      <c r="B13" s="23" t="n">
        <v>6319</v>
      </c>
      <c r="C13" s="23" t="n">
        <v>559</v>
      </c>
      <c r="D13" s="23" t="n">
        <v>5760</v>
      </c>
    </row>
    <row r="14" customFormat="false" ht="15" hidden="false" customHeight="false" outlineLevel="0" collapsed="false">
      <c r="A14" s="7" t="s">
        <v>465</v>
      </c>
      <c r="B14" s="23" t="n">
        <v>1775</v>
      </c>
      <c r="C14" s="23" t="n">
        <v>154</v>
      </c>
      <c r="D14" s="23" t="n">
        <v>1621</v>
      </c>
    </row>
    <row r="15" customFormat="false" ht="15" hidden="false" customHeight="false" outlineLevel="0" collapsed="false">
      <c r="A15" s="26" t="s">
        <v>466</v>
      </c>
      <c r="B15" s="27" t="n">
        <f aca="false">SUM(B6:B14)</f>
        <v>44699</v>
      </c>
      <c r="C15" s="27" t="n">
        <f aca="false">SUM(C6:C14)</f>
        <v>3914</v>
      </c>
      <c r="D15" s="27" t="n">
        <f aca="false">SUM(D6:D14)</f>
        <v>40785</v>
      </c>
    </row>
    <row r="16" customFormat="false" ht="30" hidden="false" customHeight="true" outlineLevel="0" collapsed="false">
      <c r="A16" s="29" t="s">
        <v>467</v>
      </c>
      <c r="B16" s="29"/>
      <c r="C16" s="29"/>
      <c r="D16" s="29"/>
      <c r="E16" s="29"/>
      <c r="F16" s="29"/>
      <c r="G16" s="29"/>
      <c r="H16" s="29"/>
      <c r="I16" s="29"/>
    </row>
    <row r="18" customFormat="false" ht="15" hidden="false" customHeight="false" outlineLevel="0" collapsed="false">
      <c r="A18" s="3" t="s">
        <v>468</v>
      </c>
    </row>
    <row r="19" customFormat="false" ht="27.75" hidden="false" customHeight="true" outlineLevel="0" collapsed="false">
      <c r="A19" s="22" t="s">
        <v>6</v>
      </c>
      <c r="B19" s="22" t="s">
        <v>469</v>
      </c>
    </row>
    <row r="20" customFormat="false" ht="15" hidden="false" customHeight="false" outlineLevel="0" collapsed="false">
      <c r="A20" s="7" t="s">
        <v>82</v>
      </c>
      <c r="B20" s="23" t="n">
        <v>40785</v>
      </c>
    </row>
    <row r="21" customFormat="false" ht="15" hidden="false" customHeight="false" outlineLevel="0" collapsed="false">
      <c r="A21" s="7" t="s">
        <v>83</v>
      </c>
      <c r="B21" s="23" t="n">
        <v>22763</v>
      </c>
    </row>
    <row r="22" customFormat="false" ht="15" hidden="false" customHeight="false" outlineLevel="0" collapsed="false">
      <c r="A22" s="7" t="s">
        <v>470</v>
      </c>
      <c r="B22" s="23" t="n">
        <v>7389</v>
      </c>
    </row>
    <row r="23" customFormat="false" ht="15" hidden="false" customHeight="false" outlineLevel="0" collapsed="false">
      <c r="A23" s="7" t="s">
        <v>471</v>
      </c>
      <c r="B23" s="23" t="n">
        <v>5777</v>
      </c>
    </row>
    <row r="24" customFormat="false" ht="15" hidden="false" customHeight="false" outlineLevel="0" collapsed="false">
      <c r="A24" s="7" t="s">
        <v>472</v>
      </c>
      <c r="B24" s="23" t="n">
        <v>5204</v>
      </c>
    </row>
    <row r="26" customFormat="false" ht="15" hidden="false" customHeight="false" outlineLevel="0" collapsed="false">
      <c r="A26" s="3" t="s">
        <v>473</v>
      </c>
    </row>
    <row r="27" customFormat="false" ht="27.75" hidden="false" customHeight="true" outlineLevel="0" collapsed="false">
      <c r="A27" s="22" t="s">
        <v>474</v>
      </c>
      <c r="B27" s="22" t="s">
        <v>475</v>
      </c>
      <c r="C27" s="22" t="s">
        <v>8</v>
      </c>
    </row>
    <row r="28" customFormat="false" ht="15" hidden="false" customHeight="false" outlineLevel="0" collapsed="false">
      <c r="A28" s="7" t="s">
        <v>476</v>
      </c>
      <c r="B28" s="23" t="n">
        <v>163</v>
      </c>
      <c r="C28" s="7" t="s">
        <v>477</v>
      </c>
    </row>
    <row r="29" customFormat="false" ht="15" hidden="false" customHeight="false" outlineLevel="0" collapsed="false">
      <c r="A29" s="7" t="s">
        <v>478</v>
      </c>
      <c r="B29" s="23" t="n">
        <v>69</v>
      </c>
      <c r="C29" s="7"/>
    </row>
    <row r="30" customFormat="false" ht="15" hidden="false" customHeight="false" outlineLevel="0" collapsed="false">
      <c r="A30" s="7" t="s">
        <v>479</v>
      </c>
      <c r="B30" s="23" t="n">
        <v>66</v>
      </c>
      <c r="C30" s="7"/>
    </row>
    <row r="31" customFormat="false" ht="15" hidden="false" customHeight="false" outlineLevel="0" collapsed="false">
      <c r="A31" s="7" t="s">
        <v>480</v>
      </c>
      <c r="B31" s="23" t="n">
        <v>49</v>
      </c>
      <c r="C31" s="7"/>
    </row>
    <row r="32" customFormat="false" ht="15" hidden="false" customHeight="false" outlineLevel="0" collapsed="false">
      <c r="A32" s="7" t="s">
        <v>481</v>
      </c>
      <c r="B32" s="23" t="n">
        <v>48</v>
      </c>
      <c r="C32" s="7"/>
    </row>
    <row r="33" customFormat="false" ht="15" hidden="false" customHeight="false" outlineLevel="0" collapsed="false">
      <c r="A33" s="7" t="s">
        <v>482</v>
      </c>
      <c r="B33" s="23" t="n">
        <v>48</v>
      </c>
      <c r="C33" s="7"/>
    </row>
    <row r="34" customFormat="false" ht="15" hidden="false" customHeight="false" outlineLevel="0" collapsed="false">
      <c r="A34" s="7" t="s">
        <v>483</v>
      </c>
      <c r="B34" s="23" t="n">
        <v>41</v>
      </c>
      <c r="C34" s="7"/>
    </row>
    <row r="35" customFormat="false" ht="15" hidden="false" customHeight="false" outlineLevel="0" collapsed="false">
      <c r="A35" s="7" t="s">
        <v>484</v>
      </c>
      <c r="B35" s="23" t="n">
        <v>41</v>
      </c>
      <c r="C35" s="7"/>
    </row>
    <row r="36" customFormat="false" ht="15" hidden="false" customHeight="false" outlineLevel="0" collapsed="false">
      <c r="A36" s="7" t="s">
        <v>485</v>
      </c>
      <c r="B36" s="23" t="n">
        <v>40</v>
      </c>
      <c r="C36" s="7"/>
    </row>
    <row r="37" customFormat="false" ht="30" hidden="false" customHeight="true" outlineLevel="0" collapsed="false">
      <c r="A37" s="29" t="s">
        <v>486</v>
      </c>
      <c r="B37" s="29"/>
      <c r="C37" s="29"/>
      <c r="D37" s="29"/>
      <c r="E37" s="29"/>
      <c r="F37" s="29"/>
      <c r="G37" s="29"/>
      <c r="H37" s="29"/>
      <c r="I37" s="29"/>
    </row>
  </sheetData>
  <mergeCells count="4">
    <mergeCell ref="A1:G1"/>
    <mergeCell ref="A2:G2"/>
    <mergeCell ref="A16:I16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8" min="3" style="0" width="14"/>
  </cols>
  <sheetData>
    <row r="1" customFormat="false" ht="27.75" hidden="false" customHeight="true" outlineLevel="0" collapsed="false">
      <c r="A1" s="21" t="s">
        <v>487</v>
      </c>
      <c r="B1" s="21"/>
      <c r="C1" s="21"/>
      <c r="D1" s="21"/>
      <c r="E1" s="21"/>
      <c r="F1" s="21"/>
      <c r="G1" s="21"/>
      <c r="H1" s="21"/>
      <c r="I1" s="21"/>
    </row>
    <row r="2" customFormat="false" ht="16.5" hidden="false" customHeight="true" outlineLevel="0" collapsed="false">
      <c r="A2" s="2" t="s">
        <v>488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22" t="s">
        <v>489</v>
      </c>
      <c r="B4" s="22" t="s">
        <v>490</v>
      </c>
      <c r="C4" s="22" t="s">
        <v>491</v>
      </c>
      <c r="D4" s="22" t="s">
        <v>152</v>
      </c>
      <c r="E4" s="22" t="s">
        <v>492</v>
      </c>
      <c r="F4" s="22" t="s">
        <v>493</v>
      </c>
      <c r="G4" s="22" t="s">
        <v>494</v>
      </c>
      <c r="H4" s="22" t="s">
        <v>109</v>
      </c>
    </row>
    <row r="5" customFormat="false" ht="23.85" hidden="false" customHeight="false" outlineLevel="0" collapsed="false">
      <c r="A5" s="7" t="s">
        <v>495</v>
      </c>
      <c r="B5" s="7" t="s">
        <v>496</v>
      </c>
      <c r="C5" s="23" t="n">
        <v>4085594</v>
      </c>
      <c r="D5" s="25" t="s">
        <v>497</v>
      </c>
      <c r="E5" s="25" t="s">
        <v>498</v>
      </c>
      <c r="F5" s="7" t="s">
        <v>499</v>
      </c>
      <c r="G5" s="25" t="s">
        <v>500</v>
      </c>
      <c r="H5" s="23" t="n">
        <v>126</v>
      </c>
    </row>
    <row r="6" customFormat="false" ht="35.05" hidden="false" customHeight="false" outlineLevel="0" collapsed="false">
      <c r="A6" s="7" t="s">
        <v>501</v>
      </c>
      <c r="B6" s="7" t="s">
        <v>502</v>
      </c>
      <c r="C6" s="23" t="n">
        <v>566591</v>
      </c>
      <c r="D6" s="25" t="s">
        <v>503</v>
      </c>
      <c r="E6" s="25" t="s">
        <v>504</v>
      </c>
      <c r="F6" s="7" t="s">
        <v>505</v>
      </c>
      <c r="G6" s="25" t="s">
        <v>160</v>
      </c>
      <c r="H6" s="23" t="n">
        <v>449</v>
      </c>
    </row>
    <row r="7" customFormat="false" ht="35.05" hidden="false" customHeight="false" outlineLevel="0" collapsed="false">
      <c r="A7" s="39" t="s">
        <v>506</v>
      </c>
      <c r="B7" s="39" t="s">
        <v>507</v>
      </c>
      <c r="C7" s="40" t="s">
        <v>508</v>
      </c>
      <c r="D7" s="41" t="s">
        <v>160</v>
      </c>
      <c r="E7" s="41" t="s">
        <v>160</v>
      </c>
      <c r="F7" s="39" t="s">
        <v>508</v>
      </c>
      <c r="G7" s="41" t="s">
        <v>160</v>
      </c>
      <c r="H7" s="40" t="s">
        <v>160</v>
      </c>
    </row>
    <row r="8" customFormat="false" ht="35.05" hidden="false" customHeight="false" outlineLevel="0" collapsed="false">
      <c r="A8" s="7" t="s">
        <v>509</v>
      </c>
      <c r="B8" s="7" t="s">
        <v>510</v>
      </c>
      <c r="C8" s="23" t="n">
        <v>476125</v>
      </c>
      <c r="D8" s="25" t="s">
        <v>511</v>
      </c>
      <c r="E8" s="25" t="s">
        <v>512</v>
      </c>
      <c r="F8" s="7" t="s">
        <v>513</v>
      </c>
      <c r="G8" s="25" t="s">
        <v>514</v>
      </c>
      <c r="H8" s="23" t="n">
        <v>16</v>
      </c>
    </row>
    <row r="9" customFormat="false" ht="23.85" hidden="false" customHeight="false" outlineLevel="0" collapsed="false">
      <c r="A9" s="42" t="s">
        <v>160</v>
      </c>
      <c r="B9" s="42" t="s">
        <v>515</v>
      </c>
      <c r="C9" s="43" t="n">
        <v>2091681</v>
      </c>
      <c r="D9" s="44" t="s">
        <v>516</v>
      </c>
      <c r="E9" s="44" t="s">
        <v>155</v>
      </c>
      <c r="F9" s="42" t="s">
        <v>517</v>
      </c>
      <c r="G9" s="44" t="s">
        <v>518</v>
      </c>
      <c r="H9" s="43" t="n">
        <v>1531</v>
      </c>
    </row>
    <row r="10" customFormat="false" ht="30" hidden="false" customHeight="true" outlineLevel="0" collapsed="false">
      <c r="A10" s="29" t="s">
        <v>519</v>
      </c>
      <c r="B10" s="29"/>
      <c r="C10" s="29"/>
      <c r="D10" s="29"/>
      <c r="E10" s="29"/>
      <c r="F10" s="29"/>
      <c r="G10" s="29"/>
      <c r="H10" s="29"/>
      <c r="I10" s="29"/>
    </row>
    <row r="12" customFormat="false" ht="15" hidden="false" customHeight="false" outlineLevel="0" collapsed="false">
      <c r="A12" s="3" t="s">
        <v>520</v>
      </c>
    </row>
    <row r="13" customFormat="false" ht="39.75" hidden="false" customHeight="true" outlineLevel="0" collapsed="false">
      <c r="A13" s="45" t="s">
        <v>30</v>
      </c>
      <c r="B13" s="46" t="s">
        <v>521</v>
      </c>
      <c r="C13" s="4" t="s">
        <v>522</v>
      </c>
      <c r="D13" s="4"/>
      <c r="E13" s="4"/>
      <c r="F13" s="4"/>
      <c r="G13" s="4"/>
      <c r="H13" s="4"/>
    </row>
    <row r="14" customFormat="false" ht="39.75" hidden="false" customHeight="true" outlineLevel="0" collapsed="false">
      <c r="A14" s="45" t="s">
        <v>30</v>
      </c>
      <c r="B14" s="46" t="s">
        <v>523</v>
      </c>
      <c r="C14" s="4" t="s">
        <v>524</v>
      </c>
      <c r="D14" s="4"/>
      <c r="E14" s="4"/>
      <c r="F14" s="4"/>
      <c r="G14" s="4"/>
      <c r="H14" s="4"/>
    </row>
    <row r="15" customFormat="false" ht="39.75" hidden="false" customHeight="true" outlineLevel="0" collapsed="false">
      <c r="A15" s="45" t="s">
        <v>30</v>
      </c>
      <c r="B15" s="46" t="s">
        <v>525</v>
      </c>
      <c r="C15" s="4" t="s">
        <v>526</v>
      </c>
      <c r="D15" s="4"/>
      <c r="E15" s="4"/>
      <c r="F15" s="4"/>
      <c r="G15" s="4"/>
      <c r="H15" s="4"/>
    </row>
    <row r="16" customFormat="false" ht="39.75" hidden="false" customHeight="true" outlineLevel="0" collapsed="false">
      <c r="A16" s="45" t="s">
        <v>30</v>
      </c>
      <c r="B16" s="46" t="s">
        <v>527</v>
      </c>
      <c r="C16" s="4" t="s">
        <v>528</v>
      </c>
      <c r="D16" s="4"/>
      <c r="E16" s="4"/>
      <c r="F16" s="4"/>
      <c r="G16" s="4"/>
      <c r="H16" s="4"/>
    </row>
    <row r="17" customFormat="false" ht="39.75" hidden="false" customHeight="true" outlineLevel="0" collapsed="false">
      <c r="A17" s="45" t="s">
        <v>30</v>
      </c>
      <c r="B17" s="46" t="s">
        <v>529</v>
      </c>
      <c r="C17" s="4" t="s">
        <v>530</v>
      </c>
      <c r="D17" s="4"/>
      <c r="E17" s="4"/>
      <c r="F17" s="4"/>
      <c r="G17" s="4"/>
      <c r="H17" s="4"/>
    </row>
    <row r="18" customFormat="false" ht="30" hidden="false" customHeight="true" outlineLevel="0" collapsed="false">
      <c r="A18" s="29" t="s">
        <v>531</v>
      </c>
      <c r="B18" s="29"/>
      <c r="C18" s="29"/>
      <c r="D18" s="29"/>
      <c r="E18" s="29"/>
      <c r="F18" s="29"/>
      <c r="G18" s="29"/>
      <c r="H18" s="29"/>
      <c r="I18" s="29"/>
    </row>
  </sheetData>
  <mergeCells count="9">
    <mergeCell ref="A1:I1"/>
    <mergeCell ref="A2:I2"/>
    <mergeCell ref="A10:I10"/>
    <mergeCell ref="C13:H13"/>
    <mergeCell ref="C14:H14"/>
    <mergeCell ref="C15:H15"/>
    <mergeCell ref="C16:H16"/>
    <mergeCell ref="C17:H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2026-09-10T17:09:25Z</dcterms:created>
  <dc:creator>openpyxl</dc:creator>
  <dc:description/>
  <dc:language>en-US</dc:language>
  <cp:lastModifiedBy/>
  <dcterms:modified xsi:type="dcterms:W3CDTF">2026-09-10T17:13:05Z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